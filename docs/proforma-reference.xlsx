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S1" sheetId="3" state="visible" r:id="rId5"/>
    <sheet name="S2" sheetId="4" state="visible" r:id="rId6"/>
    <sheet name="S3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<sst xmlns="http://schemas.openxmlformats.org/spreadsheetml/2006/main" count="771" uniqueCount="334">
  <si>
    <t xml:space="preserve">Scenario</t>
  </si>
  <si>
    <t xml:space="preserve">Price</t>
  </si>
  <si>
    <t xml:space="preserve">ARV</t>
  </si>
  <si>
    <t xml:space="preserve">Total cost</t>
  </si>
  <si>
    <t xml:space="preserve">Profit</t>
  </si>
  <si>
    <t xml:space="preserve">Margin</t>
  </si>
  <si>
    <t xml:space="preserve">ROI</t>
  </si>
  <si>
    <t xml:space="preserve">Annualized ROI</t>
  </si>
  <si>
    <t xml:space="preserve">Max offer</t>
  </si>
  <si>
    <t xml:space="preserve">Headroom</t>
  </si>
  <si>
    <t xml:space="preserve">S1</t>
  </si>
  <si>
    <t xml:space="preserve">S2</t>
  </si>
  <si>
    <t xml:space="preserve">S3</t>
  </si>
  <si>
    <t xml:space="preserve">Label</t>
  </si>
  <si>
    <t xml:space="preserve">Value</t>
  </si>
  <si>
    <t xml:space="preserve">Note</t>
  </si>
  <si>
    <t xml:space="preserve">Key</t>
  </si>
  <si>
    <t xml:space="preserve">acq closing pct</t>
  </si>
  <si>
    <t xml:space="preserve">Acquisition closing costs, percent of price</t>
  </si>
  <si>
    <t xml:space="preserve">as.acq_closing_pct</t>
  </si>
  <si>
    <t xml:space="preserve">demo flat</t>
  </si>
  <si>
    <t xml:space="preserve">Demolition flat amount</t>
  </si>
  <si>
    <t xml:space="preserve">as.demo_flat</t>
  </si>
  <si>
    <t xml:space="preserve">demo per sqft</t>
  </si>
  <si>
    <t xml:space="preserve">Demolition per existing sq ft</t>
  </si>
  <si>
    <t xml:space="preserve">as.demo_per_sqft</t>
  </si>
  <si>
    <t xml:space="preserve">demo fallback sqft</t>
  </si>
  <si>
    <t xml:space="preserve">Existing sq ft assumed when unknown</t>
  </si>
  <si>
    <t xml:space="preserve">as.demo_fallback_sqft</t>
  </si>
  <si>
    <t xml:space="preserve">hard cost psf</t>
  </si>
  <si>
    <t xml:space="preserve">Hard cost per buildable sq ft</t>
  </si>
  <si>
    <t xml:space="preserve">as.hard_cost_psf</t>
  </si>
  <si>
    <t xml:space="preserve">contingency pct</t>
  </si>
  <si>
    <t xml:space="preserve">Contingency, percent of hard cost</t>
  </si>
  <si>
    <t xml:space="preserve">as.contingency_pct</t>
  </si>
  <si>
    <t xml:space="preserve">soft cost pct</t>
  </si>
  <si>
    <t xml:space="preserve">Soft costs, percent of hard cost</t>
  </si>
  <si>
    <t xml:space="preserve">as.soft_cost_pct</t>
  </si>
  <si>
    <t xml:space="preserve">build share pct</t>
  </si>
  <si>
    <t xml:space="preserve">Share of hold spent building, percent</t>
  </si>
  <si>
    <t xml:space="preserve">as.build_share_pct</t>
  </si>
  <si>
    <t xml:space="preserve">ltc pct</t>
  </si>
  <si>
    <t xml:space="preserve">Loan to cost, percent</t>
  </si>
  <si>
    <t xml:space="preserve">as.ltc_pct</t>
  </si>
  <si>
    <t xml:space="preserve">rate pct</t>
  </si>
  <si>
    <t xml:space="preserve">Annual interest rate, percent</t>
  </si>
  <si>
    <t xml:space="preserve">as.rate_pct</t>
  </si>
  <si>
    <t xml:space="preserve">points pct</t>
  </si>
  <si>
    <t xml:space="preserve">Loan points, percent of loan</t>
  </si>
  <si>
    <t xml:space="preserve">as.points_pct</t>
  </si>
  <si>
    <t xml:space="preserve">draw count</t>
  </si>
  <si>
    <t xml:space="preserve">Number of construction draws</t>
  </si>
  <si>
    <t xml:space="preserve">as.draw_count</t>
  </si>
  <si>
    <t xml:space="preserve">draw fee</t>
  </si>
  <si>
    <t xml:space="preserve">Fee per draw</t>
  </si>
  <si>
    <t xml:space="preserve">as.draw_fee</t>
  </si>
  <si>
    <t xml:space="preserve">hold months</t>
  </si>
  <si>
    <t xml:space="preserve">Total hold in months</t>
  </si>
  <si>
    <t xml:space="preserve">as.hold_months</t>
  </si>
  <si>
    <t xml:space="preserve">tax rate pct</t>
  </si>
  <si>
    <t xml:space="preserve">Annual property tax rate, percent of price</t>
  </si>
  <si>
    <t xml:space="preserve">as.tax_rate_pct</t>
  </si>
  <si>
    <t xml:space="preserve">insurance pct</t>
  </si>
  <si>
    <t xml:space="preserve">Annual insurance, percent of hard cost</t>
  </si>
  <si>
    <t xml:space="preserve">as.insurance_pct</t>
  </si>
  <si>
    <t xml:space="preserve">commission pct</t>
  </si>
  <si>
    <t xml:space="preserve">Sell-side commission, percent of ARV</t>
  </si>
  <si>
    <t xml:space="preserve">as.commission_pct</t>
  </si>
  <si>
    <t xml:space="preserve">sell closing pct</t>
  </si>
  <si>
    <t xml:space="preserve">Sell-side closing, percent of ARV</t>
  </si>
  <si>
    <t xml:space="preserve">as.sell_closing_pct</t>
  </si>
  <si>
    <t xml:space="preserve">target margin pct</t>
  </si>
  <si>
    <t xml:space="preserve">Target margin, percent of ARV</t>
  </si>
  <si>
    <t xml:space="preserve">as.target_margin_pct</t>
  </si>
  <si>
    <t xml:space="preserve">min home sqft</t>
  </si>
  <si>
    <t xml:space="preserve">Minimum buildable home size</t>
  </si>
  <si>
    <t xml:space="preserve">as.min_home_sqft</t>
  </si>
  <si>
    <t xml:space="preserve">max home sqft</t>
  </si>
  <si>
    <t xml:space="preserve">Maximum buildable home size</t>
  </si>
  <si>
    <t xml:space="preserve">as.max_home_sqft</t>
  </si>
  <si>
    <t xml:space="preserve">min comps</t>
  </si>
  <si>
    <t xml:space="preserve">Minimum comps for an ARV</t>
  </si>
  <si>
    <t xml:space="preserve">as.min_comps</t>
  </si>
  <si>
    <t xml:space="preserve">min comp sqft</t>
  </si>
  <si>
    <t xml:space="preserve">Comps below this area are ignored</t>
  </si>
  <si>
    <t xml:space="preserve">as.min_comp_sqft</t>
  </si>
  <si>
    <t xml:space="preserve">new build premium pct</t>
  </si>
  <si>
    <t xml:space="preserve">New-build premium on median price per sq ft, percent</t>
  </si>
  <si>
    <t xml:space="preserve">as.new_build_premium_pct</t>
  </si>
  <si>
    <t xml:space="preserve">rule R-7 5(A) coverage pct</t>
  </si>
  <si>
    <t xml:space="preserve">Zoning R-7.5(A): lot coverage percent</t>
  </si>
  <si>
    <t xml:space="preserve">as.rule.R-7.5(A).coverage_pct</t>
  </si>
  <si>
    <t xml:space="preserve">rule R-7 5(A) stories</t>
  </si>
  <si>
    <t xml:space="preserve">Zoning R-7.5(A): stories</t>
  </si>
  <si>
    <t xml:space="preserve">as.rule.R-7.5(A).stories</t>
  </si>
  <si>
    <t xml:space="preserve">rule R-7 5(A) living share pct</t>
  </si>
  <si>
    <t xml:space="preserve">Zoning R-7.5(A): living share of gross, percent</t>
  </si>
  <si>
    <t xml:space="preserve">as.rule.R-7.5(A).living_share_pct</t>
  </si>
  <si>
    <t xml:space="preserve">rule default coverage pct</t>
  </si>
  <si>
    <t xml:space="preserve">Default zoning: lot coverage percent</t>
  </si>
  <si>
    <t xml:space="preserve">as.rule.default.coverage_pct</t>
  </si>
  <si>
    <t xml:space="preserve">rule default stories</t>
  </si>
  <si>
    <t xml:space="preserve">Default zoning: stories</t>
  </si>
  <si>
    <t xml:space="preserve">as.rule.default.stories</t>
  </si>
  <si>
    <t xml:space="preserve">rule default living share pct</t>
  </si>
  <si>
    <t xml:space="preserve">Default zoning: living share of gross, percent</t>
  </si>
  <si>
    <t xml:space="preserve">as.rule.default.living_share_pct</t>
  </si>
  <si>
    <t xml:space="preserve">At max offer</t>
  </si>
  <si>
    <t xml:space="preserve">At-max key</t>
  </si>
  <si>
    <t xml:space="preserve">psf_i helper</t>
  </si>
  <si>
    <t xml:space="preserve">List price (P)</t>
  </si>
  <si>
    <t xml:space="preserve">Input</t>
  </si>
  <si>
    <t xml:space="preserve">in.price</t>
  </si>
  <si>
    <t xml:space="preserve">Lot sq ft (L)</t>
  </si>
  <si>
    <t xml:space="preserve">in.lot_sqft</t>
  </si>
  <si>
    <t xml:space="preserve">Zoning</t>
  </si>
  <si>
    <t xml:space="preserve">R-7.5(A)</t>
  </si>
  <si>
    <t xml:space="preserve">Input; no rule row means default</t>
  </si>
  <si>
    <t xml:space="preserve">in.zoning</t>
  </si>
  <si>
    <t xml:space="preserve">Vacant</t>
  </si>
  <si>
    <t xml:space="preserve">in.is_vacant</t>
  </si>
  <si>
    <t xml:space="preserve">Existing sq ft</t>
  </si>
  <si>
    <t xml:space="preserve">Input; blank means unknown</t>
  </si>
  <si>
    <t xml:space="preserve">in.existing_sqft</t>
  </si>
  <si>
    <t xml:space="preserve">Comp 1 price</t>
  </si>
  <si>
    <t xml:space="preserve">in.comp.1.price</t>
  </si>
  <si>
    <t xml:space="preserve">Comp 1 area</t>
  </si>
  <si>
    <t xml:space="preserve">Input; used only if area &gt;= min comp sq ft</t>
  </si>
  <si>
    <t xml:space="preserve">in.comp.1.area</t>
  </si>
  <si>
    <t xml:space="preserve">Comp 2 price</t>
  </si>
  <si>
    <t xml:space="preserve">in.comp.2.price</t>
  </si>
  <si>
    <t xml:space="preserve">Comp 2 area</t>
  </si>
  <si>
    <t xml:space="preserve">in.comp.2.area</t>
  </si>
  <si>
    <t xml:space="preserve">Comp 3 price</t>
  </si>
  <si>
    <t xml:space="preserve">in.comp.3.price</t>
  </si>
  <si>
    <t xml:space="preserve">Comp 3 area</t>
  </si>
  <si>
    <t xml:space="preserve">in.comp.3.area</t>
  </si>
  <si>
    <t xml:space="preserve">Comp 4 price</t>
  </si>
  <si>
    <t xml:space="preserve">in.comp.4.price</t>
  </si>
  <si>
    <t xml:space="preserve">Comp 4 area</t>
  </si>
  <si>
    <t xml:space="preserve">in.comp.4.area</t>
  </si>
  <si>
    <t xml:space="preserve">Comp 5 price</t>
  </si>
  <si>
    <t xml:space="preserve">in.comp.5.price</t>
  </si>
  <si>
    <t xml:space="preserve">Comp 5 area</t>
  </si>
  <si>
    <t xml:space="preserve">in.comp.5.area</t>
  </si>
  <si>
    <t xml:space="preserve">Comp 6 price</t>
  </si>
  <si>
    <t xml:space="preserve">in.comp.6.price</t>
  </si>
  <si>
    <t xml:space="preserve">Comp 6 area</t>
  </si>
  <si>
    <t xml:space="preserve">in.comp.6.area</t>
  </si>
  <si>
    <t xml:space="preserve">Comp 7 price</t>
  </si>
  <si>
    <t xml:space="preserve">in.comp.7.price</t>
  </si>
  <si>
    <t xml:space="preserve">Comp 7 area</t>
  </si>
  <si>
    <t xml:space="preserve">in.comp.7.area</t>
  </si>
  <si>
    <t xml:space="preserve">Rule: coverage %</t>
  </si>
  <si>
    <t xml:space="preserve">Zoning rule row, or default when none</t>
  </si>
  <si>
    <t xml:space="preserve">sizing.rule_coverage_pct</t>
  </si>
  <si>
    <t xml:space="preserve">Rule: stories</t>
  </si>
  <si>
    <t xml:space="preserve">sizing.rule_stories</t>
  </si>
  <si>
    <t xml:space="preserve">Rule: living share %</t>
  </si>
  <si>
    <t xml:space="preserve">sizing.rule_living_share_pct</t>
  </si>
  <si>
    <t xml:space="preserve">Footprint sq ft</t>
  </si>
  <si>
    <t xml:space="preserve">Lot x coverage % / 100</t>
  </si>
  <si>
    <t xml:space="preserve">sizing.footprint</t>
  </si>
  <si>
    <t xml:space="preserve">Gross sq ft</t>
  </si>
  <si>
    <t xml:space="preserve">Footprint x stories</t>
  </si>
  <si>
    <t xml:space="preserve">sizing.gross</t>
  </si>
  <si>
    <t xml:space="preserve">Uncapped living sq ft</t>
  </si>
  <si>
    <t xml:space="preserve">Gross x living share % / 100</t>
  </si>
  <si>
    <t xml:space="preserve">sizing.uncapped</t>
  </si>
  <si>
    <t xml:space="preserve">Buildable sq ft (Q)</t>
  </si>
  <si>
    <t xml:space="preserve">ROUND(MIN(MAX(uncapped, min), max), 0)</t>
  </si>
  <si>
    <t xml:space="preserve">sizing.buildable_sqft</t>
  </si>
  <si>
    <t xml:space="preserve">Comps used</t>
  </si>
  <si>
    <t xml:space="preserve">Count of comps with area &gt;= min comp sq ft</t>
  </si>
  <si>
    <t xml:space="preserve">arv.comp_count_used</t>
  </si>
  <si>
    <t xml:space="preserve">Median price per sq ft</t>
  </si>
  <si>
    <t xml:space="preserve">Median of psf_i helper column (column G)</t>
  </si>
  <si>
    <t xml:space="preserve">arv.median_psf</t>
  </si>
  <si>
    <t xml:space="preserve">ARV (V)</t>
  </si>
  <si>
    <t xml:space="preserve">ROUND(median psf x Q x (1 + premium %/100), 2)</t>
  </si>
  <si>
    <t xml:space="preserve">arv.arv</t>
  </si>
  <si>
    <t xml:space="preserve">Acquisition closing</t>
  </si>
  <si>
    <t xml:space="preserve">ROUND(P x closing % / 100, 2)</t>
  </si>
  <si>
    <t xml:space="preserve">cost.acq_closing</t>
  </si>
  <si>
    <t xml:space="preserve">atmax.cost.acq_closing</t>
  </si>
  <si>
    <t xml:space="preserve">Demolition (D)</t>
  </si>
  <si>
    <t xml:space="preserve">0 if vacant, else ROUND(flat + per sq ft x existing or fallback, 2)</t>
  </si>
  <si>
    <t xml:space="preserve">cost.demolition</t>
  </si>
  <si>
    <t xml:space="preserve">atmax.cost.demolition</t>
  </si>
  <si>
    <t xml:space="preserve">Hard cost (K)</t>
  </si>
  <si>
    <t xml:space="preserve">ROUND(Q x hard cost per sq ft, 2)</t>
  </si>
  <si>
    <t xml:space="preserve">cost.hard</t>
  </si>
  <si>
    <t xml:space="preserve">atmax.cost.hard</t>
  </si>
  <si>
    <t xml:space="preserve">Contingency (Kc)</t>
  </si>
  <si>
    <t xml:space="preserve">ROUND(K x contingency % / 100, 2)</t>
  </si>
  <si>
    <t xml:space="preserve">cost.contingency</t>
  </si>
  <si>
    <t xml:space="preserve">atmax.cost.contingency</t>
  </si>
  <si>
    <t xml:space="preserve">Soft costs (S)</t>
  </si>
  <si>
    <t xml:space="preserve">ROUND(K x soft % / 100, 2)</t>
  </si>
  <si>
    <t xml:space="preserve">cost.soft</t>
  </si>
  <si>
    <t xml:space="preserve">atmax.cost.soft</t>
  </si>
  <si>
    <t xml:space="preserve">Months of construction (C)</t>
  </si>
  <si>
    <t xml:space="preserve">H x build share % / 100</t>
  </si>
  <si>
    <t xml:space="preserve">fin.months_construction</t>
  </si>
  <si>
    <t xml:space="preserve">atmax.fin.months_construction</t>
  </si>
  <si>
    <t xml:space="preserve">Months on sale (Mo)</t>
  </si>
  <si>
    <t xml:space="preserve">H - C</t>
  </si>
  <si>
    <t xml:space="preserve">fin.months_sale</t>
  </si>
  <si>
    <t xml:space="preserve">atmax.fin.months_sale</t>
  </si>
  <si>
    <t xml:space="preserve">Financeable cost (F)</t>
  </si>
  <si>
    <t xml:space="preserve">P + D + K + Kc + S</t>
  </si>
  <si>
    <t xml:space="preserve">fin.financeable</t>
  </si>
  <si>
    <t xml:space="preserve">atmax.fin.financeable</t>
  </si>
  <si>
    <t xml:space="preserve">Loan (Ln)</t>
  </si>
  <si>
    <t xml:space="preserve">ROUND(F x LTC % / 100, 2)</t>
  </si>
  <si>
    <t xml:space="preserve">fin.loan</t>
  </si>
  <si>
    <t xml:space="preserve">atmax.fin.loan</t>
  </si>
  <si>
    <t xml:space="preserve">Interest, front-drawn</t>
  </si>
  <si>
    <t xml:space="preserve">ROUND((P + D + S) x l x i x H, 2)</t>
  </si>
  <si>
    <t xml:space="preserve">fin.interest_front</t>
  </si>
  <si>
    <t xml:space="preserve">atmax.fin.interest_front</t>
  </si>
  <si>
    <t xml:space="preserve">Interest, progressive</t>
  </si>
  <si>
    <t xml:space="preserve">ROUND((K + Kc) x l x i x (C/2 + Mo), 2)</t>
  </si>
  <si>
    <t xml:space="preserve">fin.interest_progressive</t>
  </si>
  <si>
    <t xml:space="preserve">atmax.fin.interest_progressive</t>
  </si>
  <si>
    <t xml:space="preserve">Interest</t>
  </si>
  <si>
    <t xml:space="preserve">Front + progressive</t>
  </si>
  <si>
    <t xml:space="preserve">fin.interest</t>
  </si>
  <si>
    <t xml:space="preserve">atmax.fin.interest</t>
  </si>
  <si>
    <t xml:space="preserve">Points</t>
  </si>
  <si>
    <t xml:space="preserve">ROUND(Ln x points % / 100, 2)</t>
  </si>
  <si>
    <t xml:space="preserve">fin.points</t>
  </si>
  <si>
    <t xml:space="preserve">atmax.fin.points</t>
  </si>
  <si>
    <t xml:space="preserve">Draw fees</t>
  </si>
  <si>
    <t xml:space="preserve">Draw count x draw fee</t>
  </si>
  <si>
    <t xml:space="preserve">fin.draw_fees</t>
  </si>
  <si>
    <t xml:space="preserve">atmax.fin.draw_fees</t>
  </si>
  <si>
    <t xml:space="preserve">Financing total</t>
  </si>
  <si>
    <t xml:space="preserve">Interest + points + draw fees</t>
  </si>
  <si>
    <t xml:space="preserve">fin.total</t>
  </si>
  <si>
    <t xml:space="preserve">atmax.fin.total</t>
  </si>
  <si>
    <t xml:space="preserve">Holding: property tax</t>
  </si>
  <si>
    <t xml:space="preserve">ROUND(P x tax % / 100 x H / 12, 2)</t>
  </si>
  <si>
    <t xml:space="preserve">hold.tax</t>
  </si>
  <si>
    <t xml:space="preserve">atmax.hold.tax</t>
  </si>
  <si>
    <t xml:space="preserve">Holding: insurance</t>
  </si>
  <si>
    <t xml:space="preserve">ROUND(K x insurance % / 100 x H / 12, 2)</t>
  </si>
  <si>
    <t xml:space="preserve">hold.insurance</t>
  </si>
  <si>
    <t xml:space="preserve">atmax.hold.insurance</t>
  </si>
  <si>
    <t xml:space="preserve">Holding total</t>
  </si>
  <si>
    <t xml:space="preserve">Tax + insurance</t>
  </si>
  <si>
    <t xml:space="preserve">hold.total</t>
  </si>
  <si>
    <t xml:space="preserve">atmax.hold.total</t>
  </si>
  <si>
    <t xml:space="preserve">Selling: commission</t>
  </si>
  <si>
    <t xml:space="preserve">ROUND(V x commission % / 100, 2)</t>
  </si>
  <si>
    <t xml:space="preserve">sell.commission</t>
  </si>
  <si>
    <t xml:space="preserve">atmax.sell.commission</t>
  </si>
  <si>
    <t xml:space="preserve">Selling: closing</t>
  </si>
  <si>
    <t xml:space="preserve">ROUND(V x sell closing % / 100, 2)</t>
  </si>
  <si>
    <t xml:space="preserve">sell.closing</t>
  </si>
  <si>
    <t xml:space="preserve">atmax.sell.closing</t>
  </si>
  <si>
    <t xml:space="preserve">Selling total</t>
  </si>
  <si>
    <t xml:space="preserve">Commission + closing</t>
  </si>
  <si>
    <t xml:space="preserve">sell.total</t>
  </si>
  <si>
    <t xml:space="preserve">atmax.sell.total</t>
  </si>
  <si>
    <t xml:space="preserve">P + closing + D + K + Kc + S + financing + holding + selling</t>
  </si>
  <si>
    <t xml:space="preserve">tot.total_cost</t>
  </si>
  <si>
    <t xml:space="preserve">atmax.tot.total_cost</t>
  </si>
  <si>
    <t xml:space="preserve">V - total cost</t>
  </si>
  <si>
    <t xml:space="preserve">tot.profit</t>
  </si>
  <si>
    <t xml:space="preserve">atmax.tot.profit</t>
  </si>
  <si>
    <t xml:space="preserve">ROUND(profit / V, 4)</t>
  </si>
  <si>
    <t xml:space="preserve">tot.margin</t>
  </si>
  <si>
    <t xml:space="preserve">atmax.tot.margin</t>
  </si>
  <si>
    <t xml:space="preserve">Cash invested</t>
  </si>
  <si>
    <t xml:space="preserve">Total cost - selling total - loan</t>
  </si>
  <si>
    <t xml:space="preserve">tot.cash_invested</t>
  </si>
  <si>
    <t xml:space="preserve">atmax.tot.cash_invested</t>
  </si>
  <si>
    <t xml:space="preserve">ROUND(profit / cash invested, 4); blank if cash &lt;= 0</t>
  </si>
  <si>
    <t xml:space="preserve">tot.roi</t>
  </si>
  <si>
    <t xml:space="preserve">atmax.tot.roi</t>
  </si>
  <si>
    <t xml:space="preserve">ROUND(profit / cash x 12 / H, 4), simple</t>
  </si>
  <si>
    <t xml:space="preserve">tot.annualized</t>
  </si>
  <si>
    <t xml:space="preserve">atmax.tot.annualized</t>
  </si>
  <si>
    <t xml:space="preserve">Max offer: fixed part (A)</t>
  </si>
  <si>
    <t xml:space="preserve">D+K+Kc+S + l*pts*(D+K+Kc+S) + l*i*((D+S)*H+(K+Kc)*(C/2+Mo)) + draw fees + insurance + selling</t>
  </si>
  <si>
    <t xml:space="preserve">max.fixed_part</t>
  </si>
  <si>
    <t xml:space="preserve">Max offer: price coefficient (B)</t>
  </si>
  <si>
    <t xml:space="preserve">1 + closing % + l*(points % + i*H) + tax % x H/12</t>
  </si>
  <si>
    <t xml:space="preserve">max.price_coeff</t>
  </si>
  <si>
    <t xml:space="preserve">Max offer: numerator (N)</t>
  </si>
  <si>
    <t xml:space="preserve">V x (1 - target margin) - A</t>
  </si>
  <si>
    <t xml:space="preserve">max.numerator</t>
  </si>
  <si>
    <t xml:space="preserve">Maximum offer</t>
  </si>
  <si>
    <t xml:space="preserve">none if N &lt; 0, else ROUNDDOWN(N / B, 2)</t>
  </si>
  <si>
    <t xml:space="preserve">max.max_offer</t>
  </si>
  <si>
    <t xml:space="preserve">Headroom vs list price</t>
  </si>
  <si>
    <t xml:space="preserve">Max offer - P; blank when none</t>
  </si>
  <si>
    <t xml:space="preserve">max.headroom</t>
  </si>
  <si>
    <t xml:space="preserve">Target profit</t>
  </si>
  <si>
    <t xml:space="preserve">ROUND(V x target margin, 2)</t>
  </si>
  <si>
    <t xml:space="preserve">max.target_profit</t>
  </si>
  <si>
    <t xml:space="preserve">Profit at max offer</t>
  </si>
  <si>
    <t xml:space="preserve">Profit from the at-max-offer column (E)</t>
  </si>
  <si>
    <t xml:space="preserve">max.profit_at_max</t>
  </si>
  <si>
    <t xml:space="preserve">CD-12</t>
  </si>
  <si>
    <t xml:space="preserve">arv_delta_pct</t>
  </si>
  <si>
    <t xml:space="preserve">hard_cost_delta_pct</t>
  </si>
  <si>
    <t xml:space="preserve">hold_months</t>
  </si>
  <si>
    <t xml:space="preserve">arv</t>
  </si>
  <si>
    <t xml:space="preserve">hard_cost</t>
  </si>
  <si>
    <t xml:space="preserve">total_cost</t>
  </si>
  <si>
    <t xml:space="preserve">profit</t>
  </si>
  <si>
    <t xml:space="preserve">margin</t>
  </si>
  <si>
    <t xml:space="preserve">roi</t>
  </si>
  <si>
    <t xml:space="preserve">sell_commission</t>
  </si>
  <si>
    <t xml:space="preserve">sell_closing</t>
  </si>
  <si>
    <t xml:space="preserve">sell_total</t>
  </si>
  <si>
    <t xml:space="preserve">contingency</t>
  </si>
  <si>
    <t xml:space="preserve">soft</t>
  </si>
  <si>
    <t xml:space="preserve">insurance</t>
  </si>
  <si>
    <t xml:space="preserve">months_construction</t>
  </si>
  <si>
    <t xml:space="preserve">months_sale</t>
  </si>
  <si>
    <t xml:space="preserve">financeable</t>
  </si>
  <si>
    <t xml:space="preserve">loan</t>
  </si>
  <si>
    <t xml:space="preserve">interest_front</t>
  </si>
  <si>
    <t xml:space="preserve">interest_progressive</t>
  </si>
  <si>
    <t xml:space="preserve">interest</t>
  </si>
  <si>
    <t xml:space="preserve">points</t>
  </si>
  <si>
    <t xml:space="preserve">draw_fees</t>
  </si>
  <si>
    <t xml:space="preserve">fin_total</t>
  </si>
  <si>
    <t xml:space="preserve">tax</t>
  </si>
  <si>
    <t xml:space="preserve">hold_total</t>
  </si>
  <si>
    <t xml:space="preserve">cash_invested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</si>
</sst>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0.0000"/>
    <numFmt numFmtId="167" formatCode="#,##0"/>
    <numFmt numFmtId="168" formatCode="General"/>
    <numFmt numFmtId="169" formatCode="0.00"/>
    <numFmt numFmtId="170" formatCode="0"/>
    <numFmt numFmtId="171" formatCode="0.00000"/>
    <numFmt numFmtId="172" formatCode="#,##0.0000"/>
    <numFmt numFmtId="173" formatCode="0.000000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6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2" t="n">
        <f aca="false">S1!B2</f>
        <v>420000</v>
      </c>
      <c r="C2" s="2" t="n">
        <f aca="false">S1!B30</f>
        <v>1420799.85</v>
      </c>
      <c r="D2" s="2" t="n">
        <f aca="false">S1!B52</f>
        <v>1313240.26</v>
      </c>
      <c r="E2" s="2" t="n">
        <f aca="false">S1!B53</f>
        <v>107559.59</v>
      </c>
      <c r="F2" s="3" t="n">
        <f aca="false">S1!B54</f>
        <v>0.0757</v>
      </c>
      <c r="G2" s="3" t="n">
        <f aca="false">S1!B56</f>
        <v>0.3369</v>
      </c>
      <c r="H2" s="3" t="n">
        <f aca="false">S1!B57</f>
        <v>0.4492</v>
      </c>
      <c r="I2" s="2" t="n">
        <f aca="false">S1!B61</f>
        <v>324271.11</v>
      </c>
      <c r="J2" s="2" t="n">
        <f aca="false">S1!B62</f>
        <v>-95728.89</v>
      </c>
    </row>
    <row r="3" customFormat="false" ht="15" hidden="false" customHeight="false" outlineLevel="0" collapsed="false">
      <c r="A3" s="0" t="s">
        <v>11</v>
      </c>
      <c r="B3" s="2" t="n">
        <f aca="false">S2!B2</f>
        <v>300000</v>
      </c>
      <c r="C3" s="2" t="n">
        <f aca="false">S2!B24</f>
        <v>1489400.5</v>
      </c>
      <c r="D3" s="2" t="n">
        <f aca="false">S2!B46</f>
        <v>1251174.33</v>
      </c>
      <c r="E3" s="2" t="n">
        <f aca="false">S2!B47</f>
        <v>238226.17</v>
      </c>
      <c r="F3" s="3" t="n">
        <f aca="false">S2!B48</f>
        <v>0.1599</v>
      </c>
      <c r="G3" s="3" t="n">
        <f aca="false">S2!B50</f>
        <v>0.7958</v>
      </c>
      <c r="H3" s="3" t="n">
        <f aca="false">S2!B51</f>
        <v>1.061</v>
      </c>
      <c r="I3" s="2" t="n">
        <f aca="false">S2!B55</f>
        <v>313436.17</v>
      </c>
      <c r="J3" s="2" t="n">
        <f aca="false">S2!B56</f>
        <v>13436.17</v>
      </c>
    </row>
    <row r="4" customFormat="false" ht="15" hidden="false" customHeight="false" outlineLevel="0" collapsed="false">
      <c r="A4" s="0" t="s">
        <v>12</v>
      </c>
      <c r="B4" s="2" t="n">
        <f aca="false">S3!B2</f>
        <v>495000</v>
      </c>
      <c r="C4" s="2" t="n">
        <f aca="false">S3!B24</f>
        <v>678417.76</v>
      </c>
      <c r="D4" s="2" t="n">
        <f aca="false">S3!B46</f>
        <v>1191258.52</v>
      </c>
      <c r="E4" s="2" t="n">
        <f aca="false">S3!B47</f>
        <v>-512840.76</v>
      </c>
      <c r="F4" s="3" t="n">
        <f aca="false">S3!B48</f>
        <v>-0.7559</v>
      </c>
      <c r="G4" s="3" t="n">
        <f aca="false">S3!B50</f>
        <v>-1.6987</v>
      </c>
      <c r="H4" s="3" t="n">
        <f aca="false">S3!B51</f>
        <v>-2.2649</v>
      </c>
      <c r="I4" s="2" t="str">
        <f aca="false">S3!B55</f>
        <v>none</v>
      </c>
      <c r="J4" s="2" t="str">
        <f aca="false">S3!B56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</row>
    <row r="2" customFormat="false" ht="15" hidden="false" customHeight="false" outlineLevel="0" collapsed="false">
      <c r="A2" s="0" t="s">
        <v>17</v>
      </c>
      <c r="B2" s="0" t="n">
        <v>1</v>
      </c>
      <c r="C2" s="0" t="s">
        <v>18</v>
      </c>
      <c r="D2" s="0" t="s">
        <v>19</v>
      </c>
    </row>
    <row r="3" customFormat="false" ht="15" hidden="false" customHeight="false" outlineLevel="0" collapsed="false">
      <c r="A3" s="0" t="s">
        <v>20</v>
      </c>
      <c r="B3" s="0" t="n">
        <v>2500</v>
      </c>
      <c r="C3" s="0" t="s">
        <v>21</v>
      </c>
      <c r="D3" s="0" t="s">
        <v>22</v>
      </c>
    </row>
    <row r="4" customFormat="false" ht="15" hidden="false" customHeight="false" outlineLevel="0" collapsed="false">
      <c r="A4" s="0" t="s">
        <v>23</v>
      </c>
      <c r="B4" s="0" t="n">
        <v>8</v>
      </c>
      <c r="C4" s="0" t="s">
        <v>24</v>
      </c>
      <c r="D4" s="0" t="s">
        <v>25</v>
      </c>
    </row>
    <row r="5" customFormat="false" ht="15" hidden="false" customHeight="false" outlineLevel="0" collapsed="false">
      <c r="A5" s="0" t="s">
        <v>26</v>
      </c>
      <c r="B5" s="0" t="n">
        <v>1500</v>
      </c>
      <c r="C5" s="0" t="s">
        <v>27</v>
      </c>
      <c r="D5" s="0" t="s">
        <v>28</v>
      </c>
    </row>
    <row r="6" customFormat="false" ht="15" hidden="false" customHeight="false" outlineLevel="0" collapsed="false">
      <c r="A6" s="0" t="s">
        <v>29</v>
      </c>
      <c r="B6" s="0" t="n">
        <v>190</v>
      </c>
      <c r="C6" s="0" t="s">
        <v>30</v>
      </c>
      <c r="D6" s="0" t="s">
        <v>31</v>
      </c>
    </row>
    <row r="7" customFormat="false" ht="15" hidden="false" customHeight="false" outlineLevel="0" collapsed="false">
      <c r="A7" s="0" t="s">
        <v>32</v>
      </c>
      <c r="B7" s="0" t="n">
        <v>5</v>
      </c>
      <c r="C7" s="0" t="s">
        <v>33</v>
      </c>
      <c r="D7" s="0" t="s">
        <v>34</v>
      </c>
    </row>
    <row r="8" customFormat="false" ht="15" hidden="false" customHeight="false" outlineLevel="0" collapsed="false">
      <c r="A8" s="0" t="s">
        <v>35</v>
      </c>
      <c r="B8" s="0" t="n">
        <v>12</v>
      </c>
      <c r="C8" s="0" t="s">
        <v>36</v>
      </c>
      <c r="D8" s="0" t="s">
        <v>37</v>
      </c>
    </row>
    <row r="9" customFormat="false" ht="15" hidden="false" customHeight="false" outlineLevel="0" collapsed="false">
      <c r="A9" s="0" t="s">
        <v>38</v>
      </c>
      <c r="B9" s="0" t="n">
        <v>70</v>
      </c>
      <c r="C9" s="0" t="s">
        <v>39</v>
      </c>
      <c r="D9" s="0" t="s">
        <v>40</v>
      </c>
    </row>
    <row r="10" customFormat="false" ht="15" hidden="false" customHeight="false" outlineLevel="0" collapsed="false">
      <c r="A10" s="0" t="s">
        <v>41</v>
      </c>
      <c r="B10" s="0" t="n">
        <v>80</v>
      </c>
      <c r="C10" s="0" t="s">
        <v>42</v>
      </c>
      <c r="D10" s="0" t="s">
        <v>43</v>
      </c>
    </row>
    <row r="11" customFormat="false" ht="15" hidden="false" customHeight="false" outlineLevel="0" collapsed="false">
      <c r="A11" s="0" t="s">
        <v>44</v>
      </c>
      <c r="B11" s="0" t="n">
        <v>10</v>
      </c>
      <c r="C11" s="0" t="s">
        <v>45</v>
      </c>
      <c r="D11" s="0" t="s">
        <v>46</v>
      </c>
    </row>
    <row r="12" customFormat="false" ht="15" hidden="false" customHeight="false" outlineLevel="0" collapsed="false">
      <c r="A12" s="0" t="s">
        <v>47</v>
      </c>
      <c r="B12" s="0" t="n">
        <v>2</v>
      </c>
      <c r="C12" s="0" t="s">
        <v>48</v>
      </c>
      <c r="D12" s="0" t="s">
        <v>49</v>
      </c>
    </row>
    <row r="13" customFormat="false" ht="15" hidden="false" customHeight="false" outlineLevel="0" collapsed="false">
      <c r="A13" s="0" t="s">
        <v>50</v>
      </c>
      <c r="B13" s="0" t="n">
        <v>5</v>
      </c>
      <c r="C13" s="0" t="s">
        <v>51</v>
      </c>
      <c r="D13" s="0" t="s">
        <v>52</v>
      </c>
    </row>
    <row r="14" customFormat="false" ht="15" hidden="false" customHeight="false" outlineLevel="0" collapsed="false">
      <c r="A14" s="0" t="s">
        <v>53</v>
      </c>
      <c r="B14" s="0" t="n">
        <v>200</v>
      </c>
      <c r="C14" s="0" t="s">
        <v>54</v>
      </c>
      <c r="D14" s="0" t="s">
        <v>55</v>
      </c>
    </row>
    <row r="15" customFormat="false" ht="15" hidden="false" customHeight="false" outlineLevel="0" collapsed="false">
      <c r="A15" s="0" t="s">
        <v>56</v>
      </c>
      <c r="B15" s="0" t="n">
        <v>9</v>
      </c>
      <c r="C15" s="0" t="s">
        <v>57</v>
      </c>
      <c r="D15" s="0" t="s">
        <v>58</v>
      </c>
    </row>
    <row r="16" customFormat="false" ht="15" hidden="false" customHeight="false" outlineLevel="0" collapsed="false">
      <c r="A16" s="0" t="s">
        <v>59</v>
      </c>
      <c r="B16" s="0" t="n">
        <v>2.226885</v>
      </c>
      <c r="C16" s="0" t="s">
        <v>60</v>
      </c>
      <c r="D16" s="0" t="s">
        <v>61</v>
      </c>
    </row>
    <row r="17" customFormat="false" ht="15" hidden="false" customHeight="false" outlineLevel="0" collapsed="false">
      <c r="A17" s="0" t="s">
        <v>62</v>
      </c>
      <c r="B17" s="0" t="n">
        <v>1.5</v>
      </c>
      <c r="C17" s="0" t="s">
        <v>63</v>
      </c>
      <c r="D17" s="0" t="s">
        <v>64</v>
      </c>
    </row>
    <row r="18" customFormat="false" ht="15" hidden="false" customHeight="false" outlineLevel="0" collapsed="false">
      <c r="A18" s="0" t="s">
        <v>65</v>
      </c>
      <c r="B18" s="0" t="n">
        <v>5</v>
      </c>
      <c r="C18" s="0" t="s">
        <v>66</v>
      </c>
      <c r="D18" s="0" t="s">
        <v>67</v>
      </c>
    </row>
    <row r="19" customFormat="false" ht="15" hidden="false" customHeight="false" outlineLevel="0" collapsed="false">
      <c r="A19" s="0" t="s">
        <v>68</v>
      </c>
      <c r="B19" s="0" t="n">
        <v>1</v>
      </c>
      <c r="C19" s="0" t="s">
        <v>69</v>
      </c>
      <c r="D19" s="0" t="s">
        <v>70</v>
      </c>
    </row>
    <row r="20" customFormat="false" ht="15" hidden="false" customHeight="false" outlineLevel="0" collapsed="false">
      <c r="A20" s="0" t="s">
        <v>71</v>
      </c>
      <c r="B20" s="0" t="n">
        <v>15</v>
      </c>
      <c r="C20" s="0" t="s">
        <v>72</v>
      </c>
      <c r="D20" s="0" t="s">
        <v>73</v>
      </c>
    </row>
    <row r="21" customFormat="false" ht="15" hidden="false" customHeight="false" outlineLevel="0" collapsed="false">
      <c r="A21" s="0" t="s">
        <v>74</v>
      </c>
      <c r="B21" s="0" t="n">
        <v>1500</v>
      </c>
      <c r="C21" s="0" t="s">
        <v>75</v>
      </c>
      <c r="D21" s="0" t="s">
        <v>76</v>
      </c>
    </row>
    <row r="22" customFormat="false" ht="15" hidden="false" customHeight="false" outlineLevel="0" collapsed="false">
      <c r="A22" s="0" t="s">
        <v>77</v>
      </c>
      <c r="B22" s="0" t="n">
        <v>3500</v>
      </c>
      <c r="C22" s="0" t="s">
        <v>78</v>
      </c>
      <c r="D22" s="0" t="s">
        <v>79</v>
      </c>
    </row>
    <row r="23" customFormat="false" ht="15" hidden="false" customHeight="false" outlineLevel="0" collapsed="false">
      <c r="A23" s="0" t="s">
        <v>80</v>
      </c>
      <c r="B23" s="0" t="n">
        <v>3</v>
      </c>
      <c r="C23" s="0" t="s">
        <v>81</v>
      </c>
      <c r="D23" s="0" t="s">
        <v>82</v>
      </c>
    </row>
    <row r="24" customFormat="false" ht="15" hidden="false" customHeight="false" outlineLevel="0" collapsed="false">
      <c r="A24" s="0" t="s">
        <v>83</v>
      </c>
      <c r="B24" s="0" t="n">
        <v>600</v>
      </c>
      <c r="C24" s="0" t="s">
        <v>84</v>
      </c>
      <c r="D24" s="0" t="s">
        <v>85</v>
      </c>
    </row>
    <row r="25" customFormat="false" ht="15" hidden="false" customHeight="false" outlineLevel="0" collapsed="false">
      <c r="A25" s="0" t="s">
        <v>86</v>
      </c>
      <c r="B25" s="0" t="n">
        <v>0</v>
      </c>
      <c r="C25" s="0" t="s">
        <v>87</v>
      </c>
      <c r="D25" s="0" t="s">
        <v>88</v>
      </c>
    </row>
    <row r="26" customFormat="false" ht="15" hidden="false" customHeight="false" outlineLevel="0" collapsed="false">
      <c r="A26" s="0" t="s">
        <v>89</v>
      </c>
      <c r="B26" s="0" t="n">
        <v>45</v>
      </c>
      <c r="C26" s="0" t="s">
        <v>90</v>
      </c>
      <c r="D26" s="0" t="s">
        <v>91</v>
      </c>
    </row>
    <row r="27" customFormat="false" ht="15" hidden="false" customHeight="false" outlineLevel="0" collapsed="false">
      <c r="A27" s="0" t="s">
        <v>92</v>
      </c>
      <c r="B27" s="0" t="n">
        <v>2</v>
      </c>
      <c r="C27" s="0" t="s">
        <v>93</v>
      </c>
      <c r="D27" s="0" t="s">
        <v>94</v>
      </c>
    </row>
    <row r="28" customFormat="false" ht="15" hidden="false" customHeight="false" outlineLevel="0" collapsed="false">
      <c r="A28" s="0" t="s">
        <v>95</v>
      </c>
      <c r="B28" s="0" t="n">
        <v>55</v>
      </c>
      <c r="C28" s="0" t="s">
        <v>96</v>
      </c>
      <c r="D28" s="0" t="s">
        <v>97</v>
      </c>
    </row>
    <row r="29" customFormat="false" ht="15" hidden="false" customHeight="false" outlineLevel="0" collapsed="false">
      <c r="A29" s="0" t="s">
        <v>98</v>
      </c>
      <c r="B29" s="0" t="n">
        <v>40</v>
      </c>
      <c r="C29" s="0" t="s">
        <v>99</v>
      </c>
      <c r="D29" s="0" t="s">
        <v>100</v>
      </c>
    </row>
    <row r="30" customFormat="false" ht="15" hidden="false" customHeight="false" outlineLevel="0" collapsed="false">
      <c r="A30" s="0" t="s">
        <v>101</v>
      </c>
      <c r="B30" s="0" t="n">
        <v>2</v>
      </c>
      <c r="C30" s="0" t="s">
        <v>102</v>
      </c>
      <c r="D30" s="0" t="s">
        <v>103</v>
      </c>
    </row>
    <row r="31" customFormat="false" ht="15" hidden="false" customHeight="false" outlineLevel="0" collapsed="false">
      <c r="A31" s="0" t="s">
        <v>104</v>
      </c>
      <c r="B31" s="0" t="n">
        <v>50</v>
      </c>
      <c r="C31" s="0" t="s">
        <v>105</v>
      </c>
      <c r="D31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107</v>
      </c>
      <c r="F1" s="1" t="s">
        <v>108</v>
      </c>
      <c r="G1" s="1" t="s">
        <v>109</v>
      </c>
    </row>
    <row r="2" customFormat="false" ht="15" hidden="false" customHeight="false" outlineLevel="0" collapsed="false">
      <c r="A2" s="0" t="s">
        <v>110</v>
      </c>
      <c r="B2" s="2" t="n">
        <v>420000</v>
      </c>
      <c r="C2" s="4" t="s">
        <v>111</v>
      </c>
      <c r="D2" s="4" t="s">
        <v>112</v>
      </c>
    </row>
    <row r="3" customFormat="false" ht="15" hidden="false" customHeight="false" outlineLevel="0" collapsed="false">
      <c r="A3" s="0" t="s">
        <v>113</v>
      </c>
      <c r="B3" s="5" t="n">
        <v>6400</v>
      </c>
      <c r="C3" s="4" t="s">
        <v>111</v>
      </c>
      <c r="D3" s="4" t="s">
        <v>114</v>
      </c>
    </row>
    <row r="4" customFormat="false" ht="15" hidden="false" customHeight="false" outlineLevel="0" collapsed="false">
      <c r="A4" s="0" t="s">
        <v>115</v>
      </c>
      <c r="B4" s="0" t="s">
        <v>116</v>
      </c>
      <c r="C4" s="0" t="s">
        <v>117</v>
      </c>
      <c r="D4" s="0" t="s">
        <v>118</v>
      </c>
    </row>
    <row r="5" customFormat="false" ht="15" hidden="false" customHeight="false" outlineLevel="0" collapsed="false">
      <c r="A5" s="0" t="s">
        <v>119</v>
      </c>
      <c r="B5" s="6" t="b">
        <f aca="false">FALSE()</f>
        <v>0</v>
      </c>
      <c r="C5" s="4" t="s">
        <v>111</v>
      </c>
      <c r="D5" s="4" t="s">
        <v>120</v>
      </c>
    </row>
    <row r="6" customFormat="false" ht="15" hidden="false" customHeight="false" outlineLevel="0" collapsed="false">
      <c r="A6" s="0" t="s">
        <v>121</v>
      </c>
      <c r="B6" s="5" t="n">
        <v>1150</v>
      </c>
      <c r="C6" s="4" t="s">
        <v>122</v>
      </c>
      <c r="D6" s="4" t="s">
        <v>123</v>
      </c>
    </row>
    <row r="7" customFormat="false" ht="15" hidden="false" customHeight="false" outlineLevel="0" collapsed="false">
      <c r="A7" s="0" t="s">
        <v>124</v>
      </c>
      <c r="B7" s="2" t="n">
        <v>1330000</v>
      </c>
      <c r="C7" s="4" t="s">
        <v>111</v>
      </c>
      <c r="D7" s="4" t="s">
        <v>125</v>
      </c>
    </row>
    <row r="8" customFormat="false" ht="15" hidden="false" customHeight="false" outlineLevel="0" collapsed="false">
      <c r="A8" s="0" t="s">
        <v>126</v>
      </c>
      <c r="B8" s="5" t="n">
        <v>3000</v>
      </c>
      <c r="C8" s="4" t="s">
        <v>127</v>
      </c>
      <c r="D8" s="4" t="s">
        <v>128</v>
      </c>
      <c r="G8" s="3" t="n">
        <f aca="false">IF(B8&gt;=Assumptions!$B$24,ROUND(B7/B8,4),"")</f>
        <v>443.3333</v>
      </c>
    </row>
    <row r="9" customFormat="false" ht="15" hidden="false" customHeight="false" outlineLevel="0" collapsed="false">
      <c r="A9" s="0" t="s">
        <v>129</v>
      </c>
      <c r="B9" s="2" t="n">
        <v>1420000</v>
      </c>
      <c r="C9" s="4" t="s">
        <v>111</v>
      </c>
      <c r="D9" s="4" t="s">
        <v>130</v>
      </c>
    </row>
    <row r="10" customFormat="false" ht="15" hidden="false" customHeight="false" outlineLevel="0" collapsed="false">
      <c r="A10" s="0" t="s">
        <v>131</v>
      </c>
      <c r="B10" s="5" t="n">
        <v>3150</v>
      </c>
      <c r="C10" s="4" t="s">
        <v>127</v>
      </c>
      <c r="D10" s="4" t="s">
        <v>132</v>
      </c>
      <c r="G10" s="3" t="n">
        <f aca="false">IF(B10&gt;=Assumptions!$B$24,ROUND(B9/B10,4),"")</f>
        <v>450.7937</v>
      </c>
    </row>
    <row r="11" customFormat="false" ht="15" hidden="false" customHeight="false" outlineLevel="0" collapsed="false">
      <c r="A11" s="0" t="s">
        <v>133</v>
      </c>
      <c r="B11" s="2" t="n">
        <v>1250000</v>
      </c>
      <c r="C11" s="4" t="s">
        <v>111</v>
      </c>
      <c r="D11" s="4" t="s">
        <v>134</v>
      </c>
    </row>
    <row r="12" customFormat="false" ht="15" hidden="false" customHeight="false" outlineLevel="0" collapsed="false">
      <c r="A12" s="0" t="s">
        <v>135</v>
      </c>
      <c r="B12" s="5" t="n">
        <v>2800</v>
      </c>
      <c r="C12" s="4" t="s">
        <v>127</v>
      </c>
      <c r="D12" s="4" t="s">
        <v>136</v>
      </c>
      <c r="G12" s="3" t="n">
        <f aca="false">IF(B12&gt;=Assumptions!$B$24,ROUND(B11/B12,4),"")</f>
        <v>446.4286</v>
      </c>
    </row>
    <row r="13" customFormat="false" ht="15" hidden="false" customHeight="false" outlineLevel="0" collapsed="false">
      <c r="A13" s="0" t="s">
        <v>137</v>
      </c>
      <c r="B13" s="2" t="n">
        <v>1480000</v>
      </c>
      <c r="C13" s="4" t="s">
        <v>111</v>
      </c>
      <c r="D13" s="4" t="s">
        <v>138</v>
      </c>
    </row>
    <row r="14" customFormat="false" ht="15" hidden="false" customHeight="false" outlineLevel="0" collapsed="false">
      <c r="A14" s="0" t="s">
        <v>139</v>
      </c>
      <c r="B14" s="5" t="n">
        <v>3300</v>
      </c>
      <c r="C14" s="4" t="s">
        <v>127</v>
      </c>
      <c r="D14" s="4" t="s">
        <v>140</v>
      </c>
      <c r="G14" s="3" t="n">
        <f aca="false">IF(B14&gt;=Assumptions!$B$24,ROUND(B13/B14,4),"")</f>
        <v>448.4848</v>
      </c>
    </row>
    <row r="15" customFormat="false" ht="15" hidden="false" customHeight="false" outlineLevel="0" collapsed="false">
      <c r="A15" s="0" t="s">
        <v>141</v>
      </c>
      <c r="B15" s="2" t="n">
        <v>1190000</v>
      </c>
      <c r="C15" s="4" t="s">
        <v>111</v>
      </c>
      <c r="D15" s="4" t="s">
        <v>142</v>
      </c>
    </row>
    <row r="16" customFormat="false" ht="15" hidden="false" customHeight="false" outlineLevel="0" collapsed="false">
      <c r="A16" s="0" t="s">
        <v>143</v>
      </c>
      <c r="B16" s="5" t="n">
        <v>2650</v>
      </c>
      <c r="C16" s="4" t="s">
        <v>127</v>
      </c>
      <c r="D16" s="4" t="s">
        <v>144</v>
      </c>
      <c r="G16" s="3" t="n">
        <f aca="false">IF(B16&gt;=Assumptions!$B$24,ROUND(B15/B16,4),"")</f>
        <v>449.0566</v>
      </c>
    </row>
    <row r="17" customFormat="false" ht="15" hidden="false" customHeight="false" outlineLevel="0" collapsed="false">
      <c r="A17" s="0" t="s">
        <v>145</v>
      </c>
      <c r="B17" s="2" t="n">
        <v>1390000</v>
      </c>
      <c r="C17" s="4" t="s">
        <v>111</v>
      </c>
      <c r="D17" s="4" t="s">
        <v>146</v>
      </c>
    </row>
    <row r="18" customFormat="false" ht="15" hidden="false" customHeight="false" outlineLevel="0" collapsed="false">
      <c r="A18" s="0" t="s">
        <v>147</v>
      </c>
      <c r="B18" s="5" t="n">
        <v>3100</v>
      </c>
      <c r="C18" s="4" t="s">
        <v>127</v>
      </c>
      <c r="D18" s="4" t="s">
        <v>148</v>
      </c>
      <c r="G18" s="3" t="n">
        <f aca="false">IF(B18&gt;=Assumptions!$B$24,ROUND(B17/B18,4),"")</f>
        <v>448.3871</v>
      </c>
    </row>
    <row r="19" customFormat="false" ht="15" hidden="false" customHeight="false" outlineLevel="0" collapsed="false">
      <c r="A19" s="0" t="s">
        <v>149</v>
      </c>
      <c r="B19" s="2" t="n">
        <v>1520000</v>
      </c>
      <c r="C19" s="4" t="s">
        <v>111</v>
      </c>
      <c r="D19" s="4" t="s">
        <v>150</v>
      </c>
    </row>
    <row r="20" customFormat="false" ht="15" hidden="false" customHeight="false" outlineLevel="0" collapsed="false">
      <c r="A20" s="0" t="s">
        <v>151</v>
      </c>
      <c r="B20" s="5" t="n">
        <v>3350</v>
      </c>
      <c r="C20" s="4" t="s">
        <v>127</v>
      </c>
      <c r="D20" s="4" t="s">
        <v>152</v>
      </c>
      <c r="G20" s="3" t="n">
        <f aca="false">IF(B20&gt;=Assumptions!$B$24,ROUND(B19/B20,4),"")</f>
        <v>453.7313</v>
      </c>
    </row>
    <row r="21" customFormat="false" ht="15" hidden="false" customHeight="false" outlineLevel="0" collapsed="false">
      <c r="A21" s="0" t="s">
        <v>153</v>
      </c>
      <c r="B21" s="7" t="n">
        <f aca="false">IF(ISNUMBER(MATCH("as.rule."&amp;B4&amp;".coverage_pct",Assumptions!$D$2:$D$31,0)),INDEX(Assumptions!$B$2:$B$31,MATCH("as.rule."&amp;B4&amp;".coverage_pct",Assumptions!$D$2:$D$31,0)),INDEX(Assumptions!$B$2:$B$31,MATCH("as.rule.default.coverage_pct",Assumptions!$D$2:$D$31,0)))</f>
        <v>45</v>
      </c>
      <c r="C21" s="4" t="s">
        <v>154</v>
      </c>
      <c r="D21" s="4" t="s">
        <v>155</v>
      </c>
    </row>
    <row r="22" customFormat="false" ht="15" hidden="false" customHeight="false" outlineLevel="0" collapsed="false">
      <c r="A22" s="0" t="s">
        <v>156</v>
      </c>
      <c r="B22" s="8" t="n">
        <f aca="false">IF(ISNUMBER(MATCH("as.rule."&amp;B4&amp;".stories",Assumptions!$D$2:$D$31,0)),INDEX(Assumptions!$B$2:$B$31,MATCH("as.rule."&amp;B4&amp;".stories",Assumptions!$D$2:$D$31,0)),INDEX(Assumptions!$B$2:$B$31,MATCH("as.rule.default.stories",Assumptions!$D$2:$D$31,0)))</f>
        <v>2</v>
      </c>
      <c r="C22" s="4" t="s">
        <v>154</v>
      </c>
      <c r="D22" s="4" t="s">
        <v>157</v>
      </c>
    </row>
    <row r="23" customFormat="false" ht="15" hidden="false" customHeight="false" outlineLevel="0" collapsed="false">
      <c r="A23" s="0" t="s">
        <v>158</v>
      </c>
      <c r="B23" s="7" t="n">
        <f aca="false">IF(ISNUMBER(MATCH("as.rule."&amp;B4&amp;".living_share_pct",Assumptions!$D$2:$D$31,0)),INDEX(Assumptions!$B$2:$B$31,MATCH("as.rule."&amp;B4&amp;".living_share_pct",Assumptions!$D$2:$D$31,0)),INDEX(Assumptions!$B$2:$B$31,MATCH("as.rule.default.living_share_pct",Assumptions!$D$2:$D$31,0)))</f>
        <v>55</v>
      </c>
      <c r="C23" s="4" t="s">
        <v>154</v>
      </c>
      <c r="D23" s="4" t="s">
        <v>159</v>
      </c>
    </row>
    <row r="24" customFormat="false" ht="15" hidden="false" customHeight="false" outlineLevel="0" collapsed="false">
      <c r="A24" s="0" t="s">
        <v>160</v>
      </c>
      <c r="B24" s="2" t="n">
        <f aca="false">B3*B21/100</f>
        <v>2880</v>
      </c>
      <c r="C24" s="4" t="s">
        <v>161</v>
      </c>
      <c r="D24" s="4" t="s">
        <v>162</v>
      </c>
    </row>
    <row r="25" customFormat="false" ht="15" hidden="false" customHeight="false" outlineLevel="0" collapsed="false">
      <c r="A25" s="0" t="s">
        <v>163</v>
      </c>
      <c r="B25" s="2" t="n">
        <f aca="false">B24*B22</f>
        <v>5760</v>
      </c>
      <c r="C25" s="4" t="s">
        <v>164</v>
      </c>
      <c r="D25" s="4" t="s">
        <v>165</v>
      </c>
    </row>
    <row r="26" customFormat="false" ht="15" hidden="false" customHeight="false" outlineLevel="0" collapsed="false">
      <c r="A26" s="0" t="s">
        <v>166</v>
      </c>
      <c r="B26" s="2" t="n">
        <f aca="false">B25*B23/100</f>
        <v>3168</v>
      </c>
      <c r="C26" s="4" t="s">
        <v>167</v>
      </c>
      <c r="D26" s="4" t="s">
        <v>168</v>
      </c>
    </row>
    <row r="27" customFormat="false" ht="15" hidden="false" customHeight="false" outlineLevel="0" collapsed="false">
      <c r="A27" s="0" t="s">
        <v>169</v>
      </c>
      <c r="B27" s="5" t="n">
        <f aca="false">ROUND(MIN(MAX(B26,Assumptions!$B$21),Assumptions!$B$22),0)</f>
        <v>3168</v>
      </c>
      <c r="C27" s="4" t="s">
        <v>170</v>
      </c>
      <c r="D27" s="4" t="s">
        <v>171</v>
      </c>
    </row>
    <row r="28" customFormat="false" ht="15" hidden="false" customHeight="false" outlineLevel="0" collapsed="false">
      <c r="A28" s="0" t="s">
        <v>172</v>
      </c>
      <c r="B28" s="8" t="n">
        <f aca="false">COUNT(G7:G20)</f>
        <v>7</v>
      </c>
      <c r="C28" s="4" t="s">
        <v>173</v>
      </c>
      <c r="D28" s="4" t="s">
        <v>174</v>
      </c>
    </row>
    <row r="29" customFormat="false" ht="15" hidden="false" customHeight="false" outlineLevel="0" collapsed="false">
      <c r="A29" s="0" t="s">
        <v>175</v>
      </c>
      <c r="B29" s="9" t="n">
        <f aca="false">MEDIAN(G7:G20)</f>
        <v>448.4848</v>
      </c>
      <c r="C29" s="4" t="s">
        <v>176</v>
      </c>
      <c r="D29" s="4" t="s">
        <v>177</v>
      </c>
    </row>
    <row r="30" customFormat="false" ht="15" hidden="false" customHeight="false" outlineLevel="0" collapsed="false">
      <c r="A30" s="0" t="s">
        <v>178</v>
      </c>
      <c r="B30" s="2" t="n">
        <f aca="false">ROUND(B29*B27*(1+Assumptions!$B$25/100),2)</f>
        <v>1420799.85</v>
      </c>
      <c r="C30" s="4" t="s">
        <v>179</v>
      </c>
      <c r="D30" s="4" t="s">
        <v>180</v>
      </c>
    </row>
    <row r="31" customFormat="false" ht="15" hidden="false" customHeight="false" outlineLevel="0" collapsed="false">
      <c r="A31" s="0" t="s">
        <v>181</v>
      </c>
      <c r="B31" s="2" t="n">
        <f aca="false">ROUND(B2*Assumptions!$B$2/100,2)</f>
        <v>4200</v>
      </c>
      <c r="C31" s="4" t="s">
        <v>182</v>
      </c>
      <c r="D31" s="4" t="s">
        <v>183</v>
      </c>
      <c r="E31" s="2" t="n">
        <f aca="false">IF(ISNUMBER($B$61),ROUND($B$61*Assumptions!$B$2/100,2),"")</f>
        <v>3242.71</v>
      </c>
      <c r="F31" s="4" t="s">
        <v>184</v>
      </c>
    </row>
    <row r="32" customFormat="false" ht="15" hidden="false" customHeight="false" outlineLevel="0" collapsed="false">
      <c r="A32" s="0" t="s">
        <v>185</v>
      </c>
      <c r="B32" s="2" t="n">
        <f aca="false">IF(B5,0,ROUND(Assumptions!$B$3+Assumptions!$B$4*IF(ISBLANK(B6),Assumptions!$B$5,B6),2))</f>
        <v>11700</v>
      </c>
      <c r="C32" s="4" t="s">
        <v>186</v>
      </c>
      <c r="D32" s="4" t="s">
        <v>187</v>
      </c>
      <c r="E32" s="2" t="n">
        <f aca="false">IF(ISNUMBER($B$61),IF(B5,0,ROUND(Assumptions!$B$3+Assumptions!$B$4*IF(ISBLANK(B6),Assumptions!$B$5,B6),2)),"")</f>
        <v>11700</v>
      </c>
      <c r="F32" s="4" t="s">
        <v>188</v>
      </c>
    </row>
    <row r="33" customFormat="false" ht="15" hidden="false" customHeight="false" outlineLevel="0" collapsed="false">
      <c r="A33" s="0" t="s">
        <v>189</v>
      </c>
      <c r="B33" s="2" t="n">
        <f aca="false">ROUND(B27*Assumptions!$B$6,2)</f>
        <v>601920</v>
      </c>
      <c r="C33" s="4" t="s">
        <v>190</v>
      </c>
      <c r="D33" s="4" t="s">
        <v>191</v>
      </c>
      <c r="E33" s="2" t="n">
        <f aca="false">IF(ISNUMBER($B$61),ROUND(B27*Assumptions!$B$6,2),"")</f>
        <v>601920</v>
      </c>
      <c r="F33" s="4" t="s">
        <v>192</v>
      </c>
    </row>
    <row r="34" customFormat="false" ht="15" hidden="false" customHeight="false" outlineLevel="0" collapsed="false">
      <c r="A34" s="0" t="s">
        <v>193</v>
      </c>
      <c r="B34" s="2" t="n">
        <f aca="false">ROUND(B33*Assumptions!$B$7/100,2)</f>
        <v>30096</v>
      </c>
      <c r="C34" s="4" t="s">
        <v>194</v>
      </c>
      <c r="D34" s="4" t="s">
        <v>195</v>
      </c>
      <c r="E34" s="2" t="n">
        <f aca="false">IF(ISNUMBER($B$61),ROUND(E33*Assumptions!$B$7/100,2),"")</f>
        <v>30096</v>
      </c>
      <c r="F34" s="4" t="s">
        <v>196</v>
      </c>
    </row>
    <row r="35" customFormat="false" ht="15" hidden="false" customHeight="false" outlineLevel="0" collapsed="false">
      <c r="A35" s="0" t="s">
        <v>197</v>
      </c>
      <c r="B35" s="2" t="n">
        <f aca="false">ROUND(B33*Assumptions!$B$8/100,2)</f>
        <v>72230.4</v>
      </c>
      <c r="C35" s="4" t="s">
        <v>198</v>
      </c>
      <c r="D35" s="4" t="s">
        <v>199</v>
      </c>
      <c r="E35" s="2" t="n">
        <f aca="false">IF(ISNUMBER($B$61),ROUND(E33*Assumptions!$B$8/100,2),"")</f>
        <v>72230.4</v>
      </c>
      <c r="F35" s="4" t="s">
        <v>200</v>
      </c>
    </row>
    <row r="36" customFormat="false" ht="15" hidden="false" customHeight="false" outlineLevel="0" collapsed="false">
      <c r="A36" s="0" t="s">
        <v>201</v>
      </c>
      <c r="B36" s="7" t="n">
        <f aca="false">Assumptions!$B$15*Assumptions!$B$9/100</f>
        <v>6.3</v>
      </c>
      <c r="C36" s="4" t="s">
        <v>202</v>
      </c>
      <c r="D36" s="4" t="s">
        <v>203</v>
      </c>
      <c r="E36" s="7" t="n">
        <f aca="false">IF(ISNUMBER($B$61),Assumptions!$B$15*Assumptions!$B$9/100,"")</f>
        <v>6.3</v>
      </c>
      <c r="F36" s="4" t="s">
        <v>204</v>
      </c>
    </row>
    <row r="37" customFormat="false" ht="15" hidden="false" customHeight="false" outlineLevel="0" collapsed="false">
      <c r="A37" s="0" t="s">
        <v>205</v>
      </c>
      <c r="B37" s="7" t="n">
        <f aca="false">Assumptions!$B$15-B36</f>
        <v>2.7</v>
      </c>
      <c r="C37" s="4" t="s">
        <v>206</v>
      </c>
      <c r="D37" s="4" t="s">
        <v>207</v>
      </c>
      <c r="E37" s="7" t="n">
        <f aca="false">IF(ISNUMBER($B$61),Assumptions!$B$15-E36,"")</f>
        <v>2.7</v>
      </c>
      <c r="F37" s="4" t="s">
        <v>208</v>
      </c>
    </row>
    <row r="38" customFormat="false" ht="15" hidden="false" customHeight="false" outlineLevel="0" collapsed="false">
      <c r="A38" s="0" t="s">
        <v>209</v>
      </c>
      <c r="B38" s="2" t="n">
        <f aca="false">B2+B32+B33+B34+B35</f>
        <v>1135946.4</v>
      </c>
      <c r="C38" s="4" t="s">
        <v>210</v>
      </c>
      <c r="D38" s="4" t="s">
        <v>211</v>
      </c>
      <c r="E38" s="2" t="n">
        <f aca="false">IF(ISNUMBER($B$61),$B$61+E32+E33+E34+E35,"")</f>
        <v>1040217.51</v>
      </c>
      <c r="F38" s="4" t="s">
        <v>212</v>
      </c>
    </row>
    <row r="39" customFormat="false" ht="15" hidden="false" customHeight="false" outlineLevel="0" collapsed="false">
      <c r="A39" s="0" t="s">
        <v>213</v>
      </c>
      <c r="B39" s="2" t="n">
        <f aca="false">ROUND(B38*Assumptions!$B$10/100,2)</f>
        <v>908757.12</v>
      </c>
      <c r="C39" s="4" t="s">
        <v>214</v>
      </c>
      <c r="D39" s="4" t="s">
        <v>215</v>
      </c>
      <c r="E39" s="2" t="n">
        <f aca="false">IF(ISNUMBER($B$61),ROUND(E38*Assumptions!$B$10/100,2),"")</f>
        <v>832174.01</v>
      </c>
      <c r="F39" s="4" t="s">
        <v>216</v>
      </c>
    </row>
    <row r="40" customFormat="false" ht="15" hidden="false" customHeight="false" outlineLevel="0" collapsed="false">
      <c r="A40" s="0" t="s">
        <v>217</v>
      </c>
      <c r="B40" s="2" t="n">
        <f aca="false">ROUND((B2+B32+B35)*Assumptions!$B$10/100*Assumptions!$B$11/100/12*Assumptions!$B$15,2)</f>
        <v>30235.82</v>
      </c>
      <c r="C40" s="4" t="s">
        <v>218</v>
      </c>
      <c r="D40" s="4" t="s">
        <v>219</v>
      </c>
      <c r="E40" s="2" t="n">
        <f aca="false">IF(ISNUMBER($B$61),ROUND(($B$61+E32+E35)*Assumptions!$B$10/100*Assumptions!$B$11/100/12*Assumptions!$B$15,2),"")</f>
        <v>24492.09</v>
      </c>
      <c r="F40" s="4" t="s">
        <v>220</v>
      </c>
    </row>
    <row r="41" customFormat="false" ht="15" hidden="false" customHeight="false" outlineLevel="0" collapsed="false">
      <c r="A41" s="0" t="s">
        <v>221</v>
      </c>
      <c r="B41" s="2" t="n">
        <f aca="false">ROUND((B33+B34)*Assumptions!$B$10/100*Assumptions!$B$11/100/12*(B36/2+B37),2)</f>
        <v>24648.62</v>
      </c>
      <c r="C41" s="4" t="s">
        <v>222</v>
      </c>
      <c r="D41" s="4" t="s">
        <v>223</v>
      </c>
      <c r="E41" s="2" t="n">
        <f aca="false">IF(ISNUMBER($B$61),ROUND((E33+E34)*Assumptions!$B$10/100*Assumptions!$B$11/100/12*(E36/2+E37),2),"")</f>
        <v>24648.62</v>
      </c>
      <c r="F41" s="4" t="s">
        <v>224</v>
      </c>
    </row>
    <row r="42" customFormat="false" ht="15" hidden="false" customHeight="false" outlineLevel="0" collapsed="false">
      <c r="A42" s="0" t="s">
        <v>225</v>
      </c>
      <c r="B42" s="2" t="n">
        <f aca="false">B40+B41</f>
        <v>54884.44</v>
      </c>
      <c r="C42" s="4" t="s">
        <v>226</v>
      </c>
      <c r="D42" s="4" t="s">
        <v>227</v>
      </c>
      <c r="E42" s="2" t="n">
        <f aca="false">IF(ISNUMBER($B$61),E40+E41,"")</f>
        <v>49140.71</v>
      </c>
      <c r="F42" s="4" t="s">
        <v>228</v>
      </c>
    </row>
    <row r="43" customFormat="false" ht="15" hidden="false" customHeight="false" outlineLevel="0" collapsed="false">
      <c r="A43" s="0" t="s">
        <v>229</v>
      </c>
      <c r="B43" s="2" t="n">
        <f aca="false">ROUND(B39*Assumptions!$B$12/100,2)</f>
        <v>18175.14</v>
      </c>
      <c r="C43" s="4" t="s">
        <v>230</v>
      </c>
      <c r="D43" s="4" t="s">
        <v>231</v>
      </c>
      <c r="E43" s="2" t="n">
        <f aca="false">IF(ISNUMBER($B$61),ROUND(E39*Assumptions!$B$12/100,2),"")</f>
        <v>16643.48</v>
      </c>
      <c r="F43" s="4" t="s">
        <v>232</v>
      </c>
    </row>
    <row r="44" customFormat="false" ht="15" hidden="false" customHeight="false" outlineLevel="0" collapsed="false">
      <c r="A44" s="0" t="s">
        <v>233</v>
      </c>
      <c r="B44" s="2" t="n">
        <f aca="false">Assumptions!$B$13*Assumptions!$B$14</f>
        <v>1000</v>
      </c>
      <c r="C44" s="4" t="s">
        <v>234</v>
      </c>
      <c r="D44" s="4" t="s">
        <v>235</v>
      </c>
      <c r="E44" s="2" t="n">
        <f aca="false">IF(ISNUMBER($B$61),Assumptions!$B$13*Assumptions!$B$14,"")</f>
        <v>1000</v>
      </c>
      <c r="F44" s="4" t="s">
        <v>236</v>
      </c>
    </row>
    <row r="45" customFormat="false" ht="15" hidden="false" customHeight="false" outlineLevel="0" collapsed="false">
      <c r="A45" s="0" t="s">
        <v>237</v>
      </c>
      <c r="B45" s="2" t="n">
        <f aca="false">B42+B43+B44</f>
        <v>74059.58</v>
      </c>
      <c r="C45" s="4" t="s">
        <v>238</v>
      </c>
      <c r="D45" s="4" t="s">
        <v>239</v>
      </c>
      <c r="E45" s="2" t="n">
        <f aca="false">IF(ISNUMBER($B$61),E42+E43+E44,"")</f>
        <v>66784.19</v>
      </c>
      <c r="F45" s="4" t="s">
        <v>240</v>
      </c>
    </row>
    <row r="46" customFormat="false" ht="15" hidden="false" customHeight="false" outlineLevel="0" collapsed="false">
      <c r="A46" s="0" t="s">
        <v>241</v>
      </c>
      <c r="B46" s="2" t="n">
        <f aca="false">ROUND(B2*Assumptions!$B$16/100*Assumptions!$B$15/12,2)</f>
        <v>7014.69</v>
      </c>
      <c r="C46" s="4" t="s">
        <v>242</v>
      </c>
      <c r="D46" s="4" t="s">
        <v>243</v>
      </c>
      <c r="E46" s="2" t="n">
        <f aca="false">IF(ISNUMBER($B$61),ROUND($B$61*Assumptions!$B$16/100*Assumptions!$B$15/12,2),"")</f>
        <v>5415.86</v>
      </c>
      <c r="F46" s="4" t="s">
        <v>244</v>
      </c>
    </row>
    <row r="47" customFormat="false" ht="15" hidden="false" customHeight="false" outlineLevel="0" collapsed="false">
      <c r="A47" s="0" t="s">
        <v>245</v>
      </c>
      <c r="B47" s="2" t="n">
        <f aca="false">ROUND(B33*Assumptions!$B$17/100*Assumptions!$B$15/12,2)</f>
        <v>6771.6</v>
      </c>
      <c r="C47" s="4" t="s">
        <v>246</v>
      </c>
      <c r="D47" s="4" t="s">
        <v>247</v>
      </c>
      <c r="E47" s="2" t="n">
        <f aca="false">IF(ISNUMBER($B$61),ROUND(E33*Assumptions!$B$17/100*Assumptions!$B$15/12,2),"")</f>
        <v>6771.6</v>
      </c>
      <c r="F47" s="4" t="s">
        <v>248</v>
      </c>
    </row>
    <row r="48" customFormat="false" ht="15" hidden="false" customHeight="false" outlineLevel="0" collapsed="false">
      <c r="A48" s="0" t="s">
        <v>249</v>
      </c>
      <c r="B48" s="2" t="n">
        <f aca="false">B46+B47</f>
        <v>13786.29</v>
      </c>
      <c r="C48" s="4" t="s">
        <v>250</v>
      </c>
      <c r="D48" s="4" t="s">
        <v>251</v>
      </c>
      <c r="E48" s="2" t="n">
        <f aca="false">IF(ISNUMBER($B$61),E46+E47,"")</f>
        <v>12187.46</v>
      </c>
      <c r="F48" s="4" t="s">
        <v>252</v>
      </c>
    </row>
    <row r="49" customFormat="false" ht="15" hidden="false" customHeight="false" outlineLevel="0" collapsed="false">
      <c r="A49" s="0" t="s">
        <v>253</v>
      </c>
      <c r="B49" s="2" t="n">
        <f aca="false">ROUND(B30*Assumptions!$B$18/100,2)</f>
        <v>71039.99</v>
      </c>
      <c r="C49" s="4" t="s">
        <v>254</v>
      </c>
      <c r="D49" s="4" t="s">
        <v>255</v>
      </c>
      <c r="E49" s="2" t="n">
        <f aca="false">IF(ISNUMBER($B$61),ROUND(B30*Assumptions!$B$18/100,2),"")</f>
        <v>71039.99</v>
      </c>
      <c r="F49" s="4" t="s">
        <v>256</v>
      </c>
    </row>
    <row r="50" customFormat="false" ht="15" hidden="false" customHeight="false" outlineLevel="0" collapsed="false">
      <c r="A50" s="0" t="s">
        <v>257</v>
      </c>
      <c r="B50" s="2" t="n">
        <f aca="false">ROUND(B30*Assumptions!$B$19/100,2)</f>
        <v>14208</v>
      </c>
      <c r="C50" s="4" t="s">
        <v>258</v>
      </c>
      <c r="D50" s="4" t="s">
        <v>259</v>
      </c>
      <c r="E50" s="2" t="n">
        <f aca="false">IF(ISNUMBER($B$61),ROUND(B30*Assumptions!$B$19/100,2),"")</f>
        <v>14208</v>
      </c>
      <c r="F50" s="4" t="s">
        <v>260</v>
      </c>
    </row>
    <row r="51" customFormat="false" ht="15" hidden="false" customHeight="false" outlineLevel="0" collapsed="false">
      <c r="A51" s="0" t="s">
        <v>261</v>
      </c>
      <c r="B51" s="2" t="n">
        <f aca="false">B49+B50</f>
        <v>85247.99</v>
      </c>
      <c r="C51" s="4" t="s">
        <v>262</v>
      </c>
      <c r="D51" s="4" t="s">
        <v>263</v>
      </c>
      <c r="E51" s="2" t="n">
        <f aca="false">IF(ISNUMBER($B$61),E49+E50,"")</f>
        <v>85247.99</v>
      </c>
      <c r="F51" s="4" t="s">
        <v>264</v>
      </c>
    </row>
    <row r="52" customFormat="false" ht="15" hidden="false" customHeight="false" outlineLevel="0" collapsed="false">
      <c r="A52" s="0" t="s">
        <v>3</v>
      </c>
      <c r="B52" s="2" t="n">
        <f aca="false">B2+B31+B32+B33+B34+B35+B45+B48+B51</f>
        <v>1313240.26</v>
      </c>
      <c r="C52" s="4" t="s">
        <v>265</v>
      </c>
      <c r="D52" s="4" t="s">
        <v>266</v>
      </c>
      <c r="E52" s="2" t="n">
        <f aca="false">IF(ISNUMBER($B$61),$B$61+E31+E32+E33+E34+E35+E45+E48+E51,"")</f>
        <v>1207679.86</v>
      </c>
      <c r="F52" s="4" t="s">
        <v>267</v>
      </c>
    </row>
    <row r="53" customFormat="false" ht="15" hidden="false" customHeight="false" outlineLevel="0" collapsed="false">
      <c r="A53" s="0" t="s">
        <v>4</v>
      </c>
      <c r="B53" s="2" t="n">
        <f aca="false">B30-B52</f>
        <v>107559.59</v>
      </c>
      <c r="C53" s="4" t="s">
        <v>268</v>
      </c>
      <c r="D53" s="4" t="s">
        <v>269</v>
      </c>
      <c r="E53" s="2" t="n">
        <f aca="false">IF(ISNUMBER($B$61),B30-E52,"")</f>
        <v>213119.99</v>
      </c>
      <c r="F53" s="4" t="s">
        <v>270</v>
      </c>
    </row>
    <row r="54" customFormat="false" ht="15" hidden="false" customHeight="false" outlineLevel="0" collapsed="false">
      <c r="A54" s="0" t="s">
        <v>5</v>
      </c>
      <c r="B54" s="3" t="n">
        <f aca="false">ROUND(B53/B30,4)</f>
        <v>0.0757</v>
      </c>
      <c r="C54" s="4" t="s">
        <v>271</v>
      </c>
      <c r="D54" s="4" t="s">
        <v>272</v>
      </c>
      <c r="E54" s="3" t="n">
        <f aca="false">IF(ISNUMBER($B$61),ROUND(E53/B30,4),"")</f>
        <v>0.15</v>
      </c>
      <c r="F54" s="4" t="s">
        <v>273</v>
      </c>
    </row>
    <row r="55" customFormat="false" ht="15" hidden="false" customHeight="false" outlineLevel="0" collapsed="false">
      <c r="A55" s="0" t="s">
        <v>274</v>
      </c>
      <c r="B55" s="2" t="n">
        <f aca="false">B52-B51-B39</f>
        <v>319235.15</v>
      </c>
      <c r="C55" s="4" t="s">
        <v>275</v>
      </c>
      <c r="D55" s="4" t="s">
        <v>276</v>
      </c>
      <c r="E55" s="2" t="n">
        <f aca="false">IF(ISNUMBER($B$61),E52-E51-E39,"")</f>
        <v>290257.86</v>
      </c>
      <c r="F55" s="4" t="s">
        <v>277</v>
      </c>
    </row>
    <row r="56" customFormat="false" ht="15" hidden="false" customHeight="false" outlineLevel="0" collapsed="false">
      <c r="A56" s="0" t="s">
        <v>6</v>
      </c>
      <c r="B56" s="3" t="n">
        <f aca="false">IF(B55&lt;=0,"",ROUND(B53/B55,4))</f>
        <v>0.3369</v>
      </c>
      <c r="C56" s="4" t="s">
        <v>278</v>
      </c>
      <c r="D56" s="4" t="s">
        <v>279</v>
      </c>
      <c r="E56" s="3" t="n">
        <f aca="false">IF(ISNUMBER($B$61),IF(E55&lt;=0,"",ROUND(E53/E55,4)),"")</f>
        <v>0.7342</v>
      </c>
      <c r="F56" s="4" t="s">
        <v>280</v>
      </c>
    </row>
    <row r="57" customFormat="false" ht="15" hidden="false" customHeight="false" outlineLevel="0" collapsed="false">
      <c r="A57" s="0" t="s">
        <v>7</v>
      </c>
      <c r="B57" s="3" t="n">
        <f aca="false">IF(B55&lt;=0,"",ROUND(B53/B55*12/Assumptions!$B$15,4))</f>
        <v>0.4492</v>
      </c>
      <c r="C57" s="4" t="s">
        <v>281</v>
      </c>
      <c r="D57" s="4" t="s">
        <v>282</v>
      </c>
      <c r="E57" s="3" t="n">
        <f aca="false">IF(ISNUMBER($B$61),IF(E55&lt;=0,"",ROUND(E53/E55*12/Assumptions!$B$15,4)),"")</f>
        <v>0.979</v>
      </c>
      <c r="F57" s="4" t="s">
        <v>283</v>
      </c>
    </row>
    <row r="58" customFormat="false" ht="15" hidden="false" customHeight="false" outlineLevel="0" collapsed="false">
      <c r="A58" s="0" t="s">
        <v>284</v>
      </c>
      <c r="B58" s="10" t="n">
        <f aca="false">B32+B33+B34+B35+Assumptions!$B$10/100*(Assumptions!$B$12/100)*(B32+B33+B34+B35)+Assumptions!$B$10/100*Assumptions!$B$11/100/12*((B32+B35)*Assumptions!$B$15+(B33+B34)*(B36/2+B37))+B44+B47+B51</f>
        <v>850105.5804</v>
      </c>
      <c r="C58" s="4" t="s">
        <v>285</v>
      </c>
      <c r="D58" s="4" t="s">
        <v>286</v>
      </c>
    </row>
    <row r="59" customFormat="false" ht="15" hidden="false" customHeight="false" outlineLevel="0" collapsed="false">
      <c r="A59" s="0" t="s">
        <v>287</v>
      </c>
      <c r="B59" s="11" t="n">
        <f aca="false">1+Assumptions!$B$2/100+Assumptions!$B$10/100*(Assumptions!$B$12/100+Assumptions!$B$11/100/12*Assumptions!$B$15)+(Assumptions!$B$16/100)*Assumptions!$B$15/12</f>
        <v>1.1027016375</v>
      </c>
      <c r="C59" s="4" t="s">
        <v>288</v>
      </c>
      <c r="D59" s="4" t="s">
        <v>289</v>
      </c>
    </row>
    <row r="60" customFormat="false" ht="15" hidden="false" customHeight="false" outlineLevel="0" collapsed="false">
      <c r="A60" s="0" t="s">
        <v>290</v>
      </c>
      <c r="B60" s="10" t="n">
        <f aca="false">B30*(1-Assumptions!$B$20/100)-B58</f>
        <v>357574.2921</v>
      </c>
      <c r="C60" s="4" t="s">
        <v>291</v>
      </c>
      <c r="D60" s="4" t="s">
        <v>292</v>
      </c>
    </row>
    <row r="61" customFormat="false" ht="15" hidden="false" customHeight="false" outlineLevel="0" collapsed="false">
      <c r="A61" s="0" t="s">
        <v>293</v>
      </c>
      <c r="B61" s="2" t="n">
        <f aca="false">IF(B60&lt;0,"none",ROUNDDOWN(B60/B59,2))</f>
        <v>324271.11</v>
      </c>
      <c r="C61" s="4" t="s">
        <v>294</v>
      </c>
      <c r="D61" s="4" t="s">
        <v>295</v>
      </c>
    </row>
    <row r="62" customFormat="false" ht="15" hidden="false" customHeight="false" outlineLevel="0" collapsed="false">
      <c r="A62" s="0" t="s">
        <v>296</v>
      </c>
      <c r="B62" s="2" t="n">
        <f aca="false">IF(ISNUMBER(B61),B61-B2,"")</f>
        <v>-95728.89</v>
      </c>
      <c r="C62" s="4" t="s">
        <v>297</v>
      </c>
      <c r="D62" s="4" t="s">
        <v>298</v>
      </c>
    </row>
    <row r="63" customFormat="false" ht="15" hidden="false" customHeight="false" outlineLevel="0" collapsed="false">
      <c r="A63" s="0" t="s">
        <v>299</v>
      </c>
      <c r="B63" s="2" t="n">
        <f aca="false">ROUND(B30*Assumptions!$B$20/100,2)</f>
        <v>213119.98</v>
      </c>
      <c r="C63" s="4" t="s">
        <v>300</v>
      </c>
      <c r="D63" s="4" t="s">
        <v>301</v>
      </c>
    </row>
    <row r="64" customFormat="false" ht="15" hidden="false" customHeight="false" outlineLevel="0" collapsed="false">
      <c r="A64" s="0" t="s">
        <v>302</v>
      </c>
      <c r="B64" s="2" t="n">
        <f aca="false">IF(ISNUMBER(B61),E53,"")</f>
        <v>213119.99</v>
      </c>
      <c r="C64" s="4" t="s">
        <v>303</v>
      </c>
      <c r="D64" s="4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107</v>
      </c>
      <c r="F1" s="1" t="s">
        <v>108</v>
      </c>
      <c r="G1" s="1" t="s">
        <v>109</v>
      </c>
    </row>
    <row r="2" customFormat="false" ht="15" hidden="false" customHeight="false" outlineLevel="0" collapsed="false">
      <c r="A2" s="0" t="s">
        <v>110</v>
      </c>
      <c r="B2" s="2" t="n">
        <v>300000</v>
      </c>
      <c r="C2" s="4" t="s">
        <v>111</v>
      </c>
      <c r="D2" s="4" t="s">
        <v>112</v>
      </c>
    </row>
    <row r="3" customFormat="false" ht="15" hidden="false" customHeight="false" outlineLevel="0" collapsed="false">
      <c r="A3" s="0" t="s">
        <v>113</v>
      </c>
      <c r="B3" s="5" t="n">
        <v>10134</v>
      </c>
      <c r="C3" s="4" t="s">
        <v>111</v>
      </c>
      <c r="D3" s="4" t="s">
        <v>114</v>
      </c>
    </row>
    <row r="4" customFormat="false" ht="15" hidden="false" customHeight="false" outlineLevel="0" collapsed="false">
      <c r="A4" s="0" t="s">
        <v>115</v>
      </c>
      <c r="B4" s="0" t="s">
        <v>116</v>
      </c>
      <c r="C4" s="0" t="s">
        <v>117</v>
      </c>
      <c r="D4" s="0" t="s">
        <v>118</v>
      </c>
    </row>
    <row r="5" customFormat="false" ht="15" hidden="false" customHeight="false" outlineLevel="0" collapsed="false">
      <c r="A5" s="0" t="s">
        <v>119</v>
      </c>
      <c r="B5" s="6" t="b">
        <f aca="false">TRUE()</f>
        <v>1</v>
      </c>
      <c r="C5" s="4" t="s">
        <v>111</v>
      </c>
      <c r="D5" s="4" t="s">
        <v>120</v>
      </c>
    </row>
    <row r="6" customFormat="false" ht="15" hidden="false" customHeight="false" outlineLevel="0" collapsed="false">
      <c r="A6" s="0" t="s">
        <v>121</v>
      </c>
      <c r="B6" s="5"/>
      <c r="C6" s="4" t="s">
        <v>122</v>
      </c>
      <c r="D6" s="4" t="s">
        <v>123</v>
      </c>
    </row>
    <row r="7" customFormat="false" ht="15" hidden="false" customHeight="false" outlineLevel="0" collapsed="false">
      <c r="A7" s="0" t="s">
        <v>124</v>
      </c>
      <c r="B7" s="2" t="n">
        <v>1450000</v>
      </c>
      <c r="C7" s="4" t="s">
        <v>111</v>
      </c>
      <c r="D7" s="4" t="s">
        <v>125</v>
      </c>
    </row>
    <row r="8" customFormat="false" ht="15" hidden="false" customHeight="false" outlineLevel="0" collapsed="false">
      <c r="A8" s="0" t="s">
        <v>126</v>
      </c>
      <c r="B8" s="5" t="n">
        <v>3400</v>
      </c>
      <c r="C8" s="4" t="s">
        <v>127</v>
      </c>
      <c r="D8" s="4" t="s">
        <v>128</v>
      </c>
      <c r="G8" s="3" t="n">
        <f aca="false">IF(B8&gt;=Assumptions!$B$24,ROUND(B7/B8,4),"")</f>
        <v>426.4706</v>
      </c>
    </row>
    <row r="9" customFormat="false" ht="15" hidden="false" customHeight="false" outlineLevel="0" collapsed="false">
      <c r="A9" s="0" t="s">
        <v>129</v>
      </c>
      <c r="B9" s="2" t="n">
        <v>1380000</v>
      </c>
      <c r="C9" s="4" t="s">
        <v>111</v>
      </c>
      <c r="D9" s="4" t="s">
        <v>130</v>
      </c>
    </row>
    <row r="10" customFormat="false" ht="15" hidden="false" customHeight="false" outlineLevel="0" collapsed="false">
      <c r="A10" s="0" t="s">
        <v>131</v>
      </c>
      <c r="B10" s="5" t="n">
        <v>3250</v>
      </c>
      <c r="C10" s="4" t="s">
        <v>127</v>
      </c>
      <c r="D10" s="4" t="s">
        <v>132</v>
      </c>
      <c r="G10" s="3" t="n">
        <f aca="false">IF(B10&gt;=Assumptions!$B$24,ROUND(B9/B10,4),"")</f>
        <v>424.6154</v>
      </c>
    </row>
    <row r="11" customFormat="false" ht="15" hidden="false" customHeight="false" outlineLevel="0" collapsed="false">
      <c r="A11" s="0" t="s">
        <v>133</v>
      </c>
      <c r="B11" s="2" t="n">
        <v>1500000</v>
      </c>
      <c r="C11" s="4" t="s">
        <v>111</v>
      </c>
      <c r="D11" s="4" t="s">
        <v>134</v>
      </c>
    </row>
    <row r="12" customFormat="false" ht="15" hidden="false" customHeight="false" outlineLevel="0" collapsed="false">
      <c r="A12" s="0" t="s">
        <v>135</v>
      </c>
      <c r="B12" s="5" t="n">
        <v>3600</v>
      </c>
      <c r="C12" s="4" t="s">
        <v>127</v>
      </c>
      <c r="D12" s="4" t="s">
        <v>136</v>
      </c>
      <c r="G12" s="3" t="n">
        <f aca="false">IF(B12&gt;=Assumptions!$B$24,ROUND(B11/B12,4),"")</f>
        <v>416.6667</v>
      </c>
    </row>
    <row r="13" customFormat="false" ht="15" hidden="false" customHeight="false" outlineLevel="0" collapsed="false">
      <c r="A13" s="0" t="s">
        <v>137</v>
      </c>
      <c r="B13" s="2" t="n">
        <v>1280000</v>
      </c>
      <c r="C13" s="4" t="s">
        <v>111</v>
      </c>
      <c r="D13" s="4" t="s">
        <v>138</v>
      </c>
    </row>
    <row r="14" customFormat="false" ht="15" hidden="false" customHeight="false" outlineLevel="0" collapsed="false">
      <c r="A14" s="0" t="s">
        <v>139</v>
      </c>
      <c r="B14" s="5" t="n">
        <v>3000</v>
      </c>
      <c r="C14" s="4" t="s">
        <v>127</v>
      </c>
      <c r="D14" s="4" t="s">
        <v>140</v>
      </c>
      <c r="G14" s="3" t="n">
        <f aca="false">IF(B14&gt;=Assumptions!$B$24,ROUND(B13/B14,4),"")</f>
        <v>426.6667</v>
      </c>
    </row>
    <row r="15" customFormat="false" ht="15" hidden="false" customHeight="false" outlineLevel="0" collapsed="false">
      <c r="A15" s="0" t="s">
        <v>153</v>
      </c>
      <c r="B15" s="7" t="n">
        <f aca="false">IF(ISNUMBER(MATCH("as.rule."&amp;B4&amp;".coverage_pct",Assumptions!$D$2:$D$31,0)),INDEX(Assumptions!$B$2:$B$31,MATCH("as.rule."&amp;B4&amp;".coverage_pct",Assumptions!$D$2:$D$31,0)),INDEX(Assumptions!$B$2:$B$31,MATCH("as.rule.default.coverage_pct",Assumptions!$D$2:$D$31,0)))</f>
        <v>45</v>
      </c>
      <c r="C15" s="4" t="s">
        <v>154</v>
      </c>
      <c r="D15" s="4" t="s">
        <v>155</v>
      </c>
    </row>
    <row r="16" customFormat="false" ht="15" hidden="false" customHeight="false" outlineLevel="0" collapsed="false">
      <c r="A16" s="0" t="s">
        <v>156</v>
      </c>
      <c r="B16" s="8" t="n">
        <f aca="false">IF(ISNUMBER(MATCH("as.rule."&amp;B4&amp;".stories",Assumptions!$D$2:$D$31,0)),INDEX(Assumptions!$B$2:$B$31,MATCH("as.rule."&amp;B4&amp;".stories",Assumptions!$D$2:$D$31,0)),INDEX(Assumptions!$B$2:$B$31,MATCH("as.rule.default.stories",Assumptions!$D$2:$D$31,0)))</f>
        <v>2</v>
      </c>
      <c r="C16" s="4" t="s">
        <v>154</v>
      </c>
      <c r="D16" s="4" t="s">
        <v>157</v>
      </c>
    </row>
    <row r="17" customFormat="false" ht="15" hidden="false" customHeight="false" outlineLevel="0" collapsed="false">
      <c r="A17" s="0" t="s">
        <v>158</v>
      </c>
      <c r="B17" s="7" t="n">
        <f aca="false">IF(ISNUMBER(MATCH("as.rule."&amp;B4&amp;".living_share_pct",Assumptions!$D$2:$D$31,0)),INDEX(Assumptions!$B$2:$B$31,MATCH("as.rule."&amp;B4&amp;".living_share_pct",Assumptions!$D$2:$D$31,0)),INDEX(Assumptions!$B$2:$B$31,MATCH("as.rule.default.living_share_pct",Assumptions!$D$2:$D$31,0)))</f>
        <v>55</v>
      </c>
      <c r="C17" s="4" t="s">
        <v>154</v>
      </c>
      <c r="D17" s="4" t="s">
        <v>159</v>
      </c>
    </row>
    <row r="18" customFormat="false" ht="15" hidden="false" customHeight="false" outlineLevel="0" collapsed="false">
      <c r="A18" s="0" t="s">
        <v>160</v>
      </c>
      <c r="B18" s="2" t="n">
        <f aca="false">B3*B15/100</f>
        <v>4560.3</v>
      </c>
      <c r="C18" s="4" t="s">
        <v>161</v>
      </c>
      <c r="D18" s="4" t="s">
        <v>162</v>
      </c>
    </row>
    <row r="19" customFormat="false" ht="15" hidden="false" customHeight="false" outlineLevel="0" collapsed="false">
      <c r="A19" s="0" t="s">
        <v>163</v>
      </c>
      <c r="B19" s="2" t="n">
        <f aca="false">B18*B16</f>
        <v>9120.6</v>
      </c>
      <c r="C19" s="4" t="s">
        <v>164</v>
      </c>
      <c r="D19" s="4" t="s">
        <v>165</v>
      </c>
    </row>
    <row r="20" customFormat="false" ht="15" hidden="false" customHeight="false" outlineLevel="0" collapsed="false">
      <c r="A20" s="0" t="s">
        <v>166</v>
      </c>
      <c r="B20" s="2" t="n">
        <f aca="false">B19*B17/100</f>
        <v>5016.33</v>
      </c>
      <c r="C20" s="4" t="s">
        <v>167</v>
      </c>
      <c r="D20" s="4" t="s">
        <v>168</v>
      </c>
    </row>
    <row r="21" customFormat="false" ht="15" hidden="false" customHeight="false" outlineLevel="0" collapsed="false">
      <c r="A21" s="0" t="s">
        <v>169</v>
      </c>
      <c r="B21" s="5" t="n">
        <f aca="false">ROUND(MIN(MAX(B20,Assumptions!$B$21),Assumptions!$B$22),0)</f>
        <v>3500</v>
      </c>
      <c r="C21" s="4" t="s">
        <v>170</v>
      </c>
      <c r="D21" s="4" t="s">
        <v>171</v>
      </c>
    </row>
    <row r="22" customFormat="false" ht="15" hidden="false" customHeight="false" outlineLevel="0" collapsed="false">
      <c r="A22" s="0" t="s">
        <v>172</v>
      </c>
      <c r="B22" s="8" t="n">
        <f aca="false">COUNT(G7:G14)</f>
        <v>4</v>
      </c>
      <c r="C22" s="4" t="s">
        <v>173</v>
      </c>
      <c r="D22" s="4" t="s">
        <v>174</v>
      </c>
    </row>
    <row r="23" customFormat="false" ht="15" hidden="false" customHeight="false" outlineLevel="0" collapsed="false">
      <c r="A23" s="0" t="s">
        <v>175</v>
      </c>
      <c r="B23" s="9" t="n">
        <f aca="false">MEDIAN(G7:G14)</f>
        <v>425.543</v>
      </c>
      <c r="C23" s="4" t="s">
        <v>176</v>
      </c>
      <c r="D23" s="4" t="s">
        <v>177</v>
      </c>
    </row>
    <row r="24" customFormat="false" ht="15" hidden="false" customHeight="false" outlineLevel="0" collapsed="false">
      <c r="A24" s="0" t="s">
        <v>178</v>
      </c>
      <c r="B24" s="2" t="n">
        <f aca="false">ROUND(B23*B21*(1+Assumptions!$B$25/100),2)</f>
        <v>1489400.5</v>
      </c>
      <c r="C24" s="4" t="s">
        <v>179</v>
      </c>
      <c r="D24" s="4" t="s">
        <v>180</v>
      </c>
    </row>
    <row r="25" customFormat="false" ht="15" hidden="false" customHeight="false" outlineLevel="0" collapsed="false">
      <c r="A25" s="0" t="s">
        <v>181</v>
      </c>
      <c r="B25" s="2" t="n">
        <f aca="false">ROUND(B2*Assumptions!$B$2/100,2)</f>
        <v>3000</v>
      </c>
      <c r="C25" s="4" t="s">
        <v>182</v>
      </c>
      <c r="D25" s="4" t="s">
        <v>183</v>
      </c>
      <c r="E25" s="2" t="n">
        <f aca="false">IF(ISNUMBER($B$55),ROUND($B$55*Assumptions!$B$2/100,2),"")</f>
        <v>3134.36</v>
      </c>
      <c r="F25" s="4" t="s">
        <v>184</v>
      </c>
    </row>
    <row r="26" customFormat="false" ht="15" hidden="false" customHeight="false" outlineLevel="0" collapsed="false">
      <c r="A26" s="0" t="s">
        <v>185</v>
      </c>
      <c r="B26" s="2" t="n">
        <f aca="false">IF(B5,0,ROUND(Assumptions!$B$3+Assumptions!$B$4*IF(ISBLANK(B6),Assumptions!$B$5,B6),2))</f>
        <v>0</v>
      </c>
      <c r="C26" s="4" t="s">
        <v>186</v>
      </c>
      <c r="D26" s="4" t="s">
        <v>187</v>
      </c>
      <c r="E26" s="2" t="n">
        <f aca="false">IF(ISNUMBER($B$55),IF(B5,0,ROUND(Assumptions!$B$3+Assumptions!$B$4*IF(ISBLANK(B6),Assumptions!$B$5,B6),2)),"")</f>
        <v>0</v>
      </c>
      <c r="F26" s="4" t="s">
        <v>188</v>
      </c>
    </row>
    <row r="27" customFormat="false" ht="15" hidden="false" customHeight="false" outlineLevel="0" collapsed="false">
      <c r="A27" s="0" t="s">
        <v>189</v>
      </c>
      <c r="B27" s="2" t="n">
        <f aca="false">ROUND(B21*Assumptions!$B$6,2)</f>
        <v>665000</v>
      </c>
      <c r="C27" s="4" t="s">
        <v>190</v>
      </c>
      <c r="D27" s="4" t="s">
        <v>191</v>
      </c>
      <c r="E27" s="2" t="n">
        <f aca="false">IF(ISNUMBER($B$55),ROUND(B21*Assumptions!$B$6,2),"")</f>
        <v>665000</v>
      </c>
      <c r="F27" s="4" t="s">
        <v>192</v>
      </c>
    </row>
    <row r="28" customFormat="false" ht="15" hidden="false" customHeight="false" outlineLevel="0" collapsed="false">
      <c r="A28" s="0" t="s">
        <v>193</v>
      </c>
      <c r="B28" s="2" t="n">
        <f aca="false">ROUND(B27*Assumptions!$B$7/100,2)</f>
        <v>33250</v>
      </c>
      <c r="C28" s="4" t="s">
        <v>194</v>
      </c>
      <c r="D28" s="4" t="s">
        <v>195</v>
      </c>
      <c r="E28" s="2" t="n">
        <f aca="false">IF(ISNUMBER($B$55),ROUND(E27*Assumptions!$B$7/100,2),"")</f>
        <v>33250</v>
      </c>
      <c r="F28" s="4" t="s">
        <v>196</v>
      </c>
    </row>
    <row r="29" customFormat="false" ht="15" hidden="false" customHeight="false" outlineLevel="0" collapsed="false">
      <c r="A29" s="0" t="s">
        <v>197</v>
      </c>
      <c r="B29" s="2" t="n">
        <f aca="false">ROUND(B27*Assumptions!$B$8/100,2)</f>
        <v>79800</v>
      </c>
      <c r="C29" s="4" t="s">
        <v>198</v>
      </c>
      <c r="D29" s="4" t="s">
        <v>199</v>
      </c>
      <c r="E29" s="2" t="n">
        <f aca="false">IF(ISNUMBER($B$55),ROUND(E27*Assumptions!$B$8/100,2),"")</f>
        <v>79800</v>
      </c>
      <c r="F29" s="4" t="s">
        <v>200</v>
      </c>
    </row>
    <row r="30" customFormat="false" ht="15" hidden="false" customHeight="false" outlineLevel="0" collapsed="false">
      <c r="A30" s="0" t="s">
        <v>201</v>
      </c>
      <c r="B30" s="7" t="n">
        <f aca="false">Assumptions!$B$15*Assumptions!$B$9/100</f>
        <v>6.3</v>
      </c>
      <c r="C30" s="4" t="s">
        <v>202</v>
      </c>
      <c r="D30" s="4" t="s">
        <v>203</v>
      </c>
      <c r="E30" s="7" t="n">
        <f aca="false">IF(ISNUMBER($B$55),Assumptions!$B$15*Assumptions!$B$9/100,"")</f>
        <v>6.3</v>
      </c>
      <c r="F30" s="4" t="s">
        <v>204</v>
      </c>
    </row>
    <row r="31" customFormat="false" ht="15" hidden="false" customHeight="false" outlineLevel="0" collapsed="false">
      <c r="A31" s="0" t="s">
        <v>205</v>
      </c>
      <c r="B31" s="7" t="n">
        <f aca="false">Assumptions!$B$15-B30</f>
        <v>2.7</v>
      </c>
      <c r="C31" s="4" t="s">
        <v>206</v>
      </c>
      <c r="D31" s="4" t="s">
        <v>207</v>
      </c>
      <c r="E31" s="7" t="n">
        <f aca="false">IF(ISNUMBER($B$55),Assumptions!$B$15-E30,"")</f>
        <v>2.7</v>
      </c>
      <c r="F31" s="4" t="s">
        <v>208</v>
      </c>
    </row>
    <row r="32" customFormat="false" ht="15" hidden="false" customHeight="false" outlineLevel="0" collapsed="false">
      <c r="A32" s="0" t="s">
        <v>209</v>
      </c>
      <c r="B32" s="2" t="n">
        <f aca="false">B2+B26+B27+B28+B29</f>
        <v>1078050</v>
      </c>
      <c r="C32" s="4" t="s">
        <v>210</v>
      </c>
      <c r="D32" s="4" t="s">
        <v>211</v>
      </c>
      <c r="E32" s="2" t="n">
        <f aca="false">IF(ISNUMBER($B$55),$B$55+E26+E27+E28+E29,"")</f>
        <v>1091486.17</v>
      </c>
      <c r="F32" s="4" t="s">
        <v>212</v>
      </c>
    </row>
    <row r="33" customFormat="false" ht="15" hidden="false" customHeight="false" outlineLevel="0" collapsed="false">
      <c r="A33" s="0" t="s">
        <v>213</v>
      </c>
      <c r="B33" s="2" t="n">
        <f aca="false">ROUND(B32*Assumptions!$B$10/100,2)</f>
        <v>862440</v>
      </c>
      <c r="C33" s="4" t="s">
        <v>214</v>
      </c>
      <c r="D33" s="4" t="s">
        <v>215</v>
      </c>
      <c r="E33" s="2" t="n">
        <f aca="false">IF(ISNUMBER($B$55),ROUND(E32*Assumptions!$B$10/100,2),"")</f>
        <v>873188.94</v>
      </c>
      <c r="F33" s="4" t="s">
        <v>216</v>
      </c>
    </row>
    <row r="34" customFormat="false" ht="15" hidden="false" customHeight="false" outlineLevel="0" collapsed="false">
      <c r="A34" s="0" t="s">
        <v>217</v>
      </c>
      <c r="B34" s="2" t="n">
        <f aca="false">ROUND((B2+B26+B29)*Assumptions!$B$10/100*Assumptions!$B$11/100/12*Assumptions!$B$15,2)</f>
        <v>22788</v>
      </c>
      <c r="C34" s="4" t="s">
        <v>218</v>
      </c>
      <c r="D34" s="4" t="s">
        <v>219</v>
      </c>
      <c r="E34" s="2" t="n">
        <f aca="false">IF(ISNUMBER($B$55),ROUND(($B$55+E26+E29)*Assumptions!$B$10/100*Assumptions!$B$11/100/12*Assumptions!$B$15,2),"")</f>
        <v>23594.17</v>
      </c>
      <c r="F34" s="4" t="s">
        <v>220</v>
      </c>
    </row>
    <row r="35" customFormat="false" ht="15" hidden="false" customHeight="false" outlineLevel="0" collapsed="false">
      <c r="A35" s="0" t="s">
        <v>221</v>
      </c>
      <c r="B35" s="2" t="n">
        <f aca="false">ROUND((B27+B28)*Assumptions!$B$10/100*Assumptions!$B$11/100/12*(B30/2+B31),2)</f>
        <v>27231.75</v>
      </c>
      <c r="C35" s="4" t="s">
        <v>222</v>
      </c>
      <c r="D35" s="4" t="s">
        <v>223</v>
      </c>
      <c r="E35" s="2" t="n">
        <f aca="false">IF(ISNUMBER($B$55),ROUND((E27+E28)*Assumptions!$B$10/100*Assumptions!$B$11/100/12*(E30/2+E31),2),"")</f>
        <v>27231.75</v>
      </c>
      <c r="F35" s="4" t="s">
        <v>224</v>
      </c>
    </row>
    <row r="36" customFormat="false" ht="15" hidden="false" customHeight="false" outlineLevel="0" collapsed="false">
      <c r="A36" s="0" t="s">
        <v>225</v>
      </c>
      <c r="B36" s="2" t="n">
        <f aca="false">B34+B35</f>
        <v>50019.75</v>
      </c>
      <c r="C36" s="4" t="s">
        <v>226</v>
      </c>
      <c r="D36" s="4" t="s">
        <v>227</v>
      </c>
      <c r="E36" s="2" t="n">
        <f aca="false">IF(ISNUMBER($B$55),E34+E35,"")</f>
        <v>50825.92</v>
      </c>
      <c r="F36" s="4" t="s">
        <v>228</v>
      </c>
    </row>
    <row r="37" customFormat="false" ht="15" hidden="false" customHeight="false" outlineLevel="0" collapsed="false">
      <c r="A37" s="0" t="s">
        <v>229</v>
      </c>
      <c r="B37" s="2" t="n">
        <f aca="false">ROUND(B33*Assumptions!$B$12/100,2)</f>
        <v>17248.8</v>
      </c>
      <c r="C37" s="4" t="s">
        <v>230</v>
      </c>
      <c r="D37" s="4" t="s">
        <v>231</v>
      </c>
      <c r="E37" s="2" t="n">
        <f aca="false">IF(ISNUMBER($B$55),ROUND(E33*Assumptions!$B$12/100,2),"")</f>
        <v>17463.78</v>
      </c>
      <c r="F37" s="4" t="s">
        <v>232</v>
      </c>
    </row>
    <row r="38" customFormat="false" ht="15" hidden="false" customHeight="false" outlineLevel="0" collapsed="false">
      <c r="A38" s="0" t="s">
        <v>233</v>
      </c>
      <c r="B38" s="2" t="n">
        <f aca="false">Assumptions!$B$13*Assumptions!$B$14</f>
        <v>1000</v>
      </c>
      <c r="C38" s="4" t="s">
        <v>234</v>
      </c>
      <c r="D38" s="4" t="s">
        <v>235</v>
      </c>
      <c r="E38" s="2" t="n">
        <f aca="false">IF(ISNUMBER($B$55),Assumptions!$B$13*Assumptions!$B$14,"")</f>
        <v>1000</v>
      </c>
      <c r="F38" s="4" t="s">
        <v>236</v>
      </c>
    </row>
    <row r="39" customFormat="false" ht="15" hidden="false" customHeight="false" outlineLevel="0" collapsed="false">
      <c r="A39" s="0" t="s">
        <v>237</v>
      </c>
      <c r="B39" s="2" t="n">
        <f aca="false">B36+B37+B38</f>
        <v>68268.55</v>
      </c>
      <c r="C39" s="4" t="s">
        <v>238</v>
      </c>
      <c r="D39" s="4" t="s">
        <v>239</v>
      </c>
      <c r="E39" s="2" t="n">
        <f aca="false">IF(ISNUMBER($B$55),E36+E37+E38,"")</f>
        <v>69289.7</v>
      </c>
      <c r="F39" s="4" t="s">
        <v>240</v>
      </c>
    </row>
    <row r="40" customFormat="false" ht="15" hidden="false" customHeight="false" outlineLevel="0" collapsed="false">
      <c r="A40" s="0" t="s">
        <v>241</v>
      </c>
      <c r="B40" s="2" t="n">
        <f aca="false">ROUND(B2*Assumptions!$B$16/100*Assumptions!$B$15/12,2)</f>
        <v>5010.49</v>
      </c>
      <c r="C40" s="4" t="s">
        <v>242</v>
      </c>
      <c r="D40" s="4" t="s">
        <v>243</v>
      </c>
      <c r="E40" s="2" t="n">
        <f aca="false">IF(ISNUMBER($B$55),ROUND($B$55*Assumptions!$B$16/100*Assumptions!$B$15/12,2),"")</f>
        <v>5234.9</v>
      </c>
      <c r="F40" s="4" t="s">
        <v>244</v>
      </c>
    </row>
    <row r="41" customFormat="false" ht="15" hidden="false" customHeight="false" outlineLevel="0" collapsed="false">
      <c r="A41" s="0" t="s">
        <v>245</v>
      </c>
      <c r="B41" s="2" t="n">
        <f aca="false">ROUND(B27*Assumptions!$B$17/100*Assumptions!$B$15/12,2)</f>
        <v>7481.25</v>
      </c>
      <c r="C41" s="4" t="s">
        <v>246</v>
      </c>
      <c r="D41" s="4" t="s">
        <v>247</v>
      </c>
      <c r="E41" s="2" t="n">
        <f aca="false">IF(ISNUMBER($B$55),ROUND(E27*Assumptions!$B$17/100*Assumptions!$B$15/12,2),"")</f>
        <v>7481.25</v>
      </c>
      <c r="F41" s="4" t="s">
        <v>248</v>
      </c>
    </row>
    <row r="42" customFormat="false" ht="15" hidden="false" customHeight="false" outlineLevel="0" collapsed="false">
      <c r="A42" s="0" t="s">
        <v>249</v>
      </c>
      <c r="B42" s="2" t="n">
        <f aca="false">B40+B41</f>
        <v>12491.74</v>
      </c>
      <c r="C42" s="4" t="s">
        <v>250</v>
      </c>
      <c r="D42" s="4" t="s">
        <v>251</v>
      </c>
      <c r="E42" s="2" t="n">
        <f aca="false">IF(ISNUMBER($B$55),E40+E41,"")</f>
        <v>12716.15</v>
      </c>
      <c r="F42" s="4" t="s">
        <v>252</v>
      </c>
    </row>
    <row r="43" customFormat="false" ht="15" hidden="false" customHeight="false" outlineLevel="0" collapsed="false">
      <c r="A43" s="0" t="s">
        <v>253</v>
      </c>
      <c r="B43" s="2" t="n">
        <f aca="false">ROUND(B24*Assumptions!$B$18/100,2)</f>
        <v>74470.03</v>
      </c>
      <c r="C43" s="4" t="s">
        <v>254</v>
      </c>
      <c r="D43" s="4" t="s">
        <v>255</v>
      </c>
      <c r="E43" s="2" t="n">
        <f aca="false">IF(ISNUMBER($B$55),ROUND(B24*Assumptions!$B$18/100,2),"")</f>
        <v>74470.03</v>
      </c>
      <c r="F43" s="4" t="s">
        <v>256</v>
      </c>
    </row>
    <row r="44" customFormat="false" ht="15" hidden="false" customHeight="false" outlineLevel="0" collapsed="false">
      <c r="A44" s="0" t="s">
        <v>257</v>
      </c>
      <c r="B44" s="2" t="n">
        <f aca="false">ROUND(B24*Assumptions!$B$19/100,2)</f>
        <v>14894.01</v>
      </c>
      <c r="C44" s="4" t="s">
        <v>258</v>
      </c>
      <c r="D44" s="4" t="s">
        <v>259</v>
      </c>
      <c r="E44" s="2" t="n">
        <f aca="false">IF(ISNUMBER($B$55),ROUND(B24*Assumptions!$B$19/100,2),"")</f>
        <v>14894.01</v>
      </c>
      <c r="F44" s="4" t="s">
        <v>260</v>
      </c>
    </row>
    <row r="45" customFormat="false" ht="15" hidden="false" customHeight="false" outlineLevel="0" collapsed="false">
      <c r="A45" s="0" t="s">
        <v>261</v>
      </c>
      <c r="B45" s="2" t="n">
        <f aca="false">B43+B44</f>
        <v>89364.04</v>
      </c>
      <c r="C45" s="4" t="s">
        <v>262</v>
      </c>
      <c r="D45" s="4" t="s">
        <v>263</v>
      </c>
      <c r="E45" s="2" t="n">
        <f aca="false">IF(ISNUMBER($B$55),E43+E44,"")</f>
        <v>89364.04</v>
      </c>
      <c r="F45" s="4" t="s">
        <v>264</v>
      </c>
    </row>
    <row r="46" customFormat="false" ht="15" hidden="false" customHeight="false" outlineLevel="0" collapsed="false">
      <c r="A46" s="0" t="s">
        <v>3</v>
      </c>
      <c r="B46" s="2" t="n">
        <f aca="false">B2+B25+B26+B27+B28+B29+B39+B42+B45</f>
        <v>1251174.33</v>
      </c>
      <c r="C46" s="4" t="s">
        <v>265</v>
      </c>
      <c r="D46" s="4" t="s">
        <v>266</v>
      </c>
      <c r="E46" s="2" t="n">
        <f aca="false">IF(ISNUMBER($B$55),$B$55+E25+E26+E27+E28+E29+E39+E42+E45,"")</f>
        <v>1265990.42</v>
      </c>
      <c r="F46" s="4" t="s">
        <v>267</v>
      </c>
    </row>
    <row r="47" customFormat="false" ht="15" hidden="false" customHeight="false" outlineLevel="0" collapsed="false">
      <c r="A47" s="0" t="s">
        <v>4</v>
      </c>
      <c r="B47" s="2" t="n">
        <f aca="false">B24-B46</f>
        <v>238226.17</v>
      </c>
      <c r="C47" s="4" t="s">
        <v>268</v>
      </c>
      <c r="D47" s="4" t="s">
        <v>269</v>
      </c>
      <c r="E47" s="2" t="n">
        <f aca="false">IF(ISNUMBER($B$55),B24-E46,"")</f>
        <v>223410.08</v>
      </c>
      <c r="F47" s="4" t="s">
        <v>270</v>
      </c>
    </row>
    <row r="48" customFormat="false" ht="15" hidden="false" customHeight="false" outlineLevel="0" collapsed="false">
      <c r="A48" s="0" t="s">
        <v>5</v>
      </c>
      <c r="B48" s="3" t="n">
        <f aca="false">ROUND(B47/B24,4)</f>
        <v>0.1599</v>
      </c>
      <c r="C48" s="4" t="s">
        <v>271</v>
      </c>
      <c r="D48" s="4" t="s">
        <v>272</v>
      </c>
      <c r="E48" s="3" t="n">
        <f aca="false">IF(ISNUMBER($B$55),ROUND(E47/B24,4),"")</f>
        <v>0.15</v>
      </c>
      <c r="F48" s="4" t="s">
        <v>273</v>
      </c>
    </row>
    <row r="49" customFormat="false" ht="15" hidden="false" customHeight="false" outlineLevel="0" collapsed="false">
      <c r="A49" s="0" t="s">
        <v>274</v>
      </c>
      <c r="B49" s="2" t="n">
        <f aca="false">B46-B45-B33</f>
        <v>299370.29</v>
      </c>
      <c r="C49" s="4" t="s">
        <v>275</v>
      </c>
      <c r="D49" s="4" t="s">
        <v>276</v>
      </c>
      <c r="E49" s="2" t="n">
        <f aca="false">IF(ISNUMBER($B$55),E46-E45-E33,"")</f>
        <v>303437.44</v>
      </c>
      <c r="F49" s="4" t="s">
        <v>277</v>
      </c>
    </row>
    <row r="50" customFormat="false" ht="15" hidden="false" customHeight="false" outlineLevel="0" collapsed="false">
      <c r="A50" s="0" t="s">
        <v>6</v>
      </c>
      <c r="B50" s="3" t="n">
        <f aca="false">IF(B49&lt;=0,"",ROUND(B47/B49,4))</f>
        <v>0.7958</v>
      </c>
      <c r="C50" s="4" t="s">
        <v>278</v>
      </c>
      <c r="D50" s="4" t="s">
        <v>279</v>
      </c>
      <c r="E50" s="3" t="n">
        <f aca="false">IF(ISNUMBER($B$55),IF(E49&lt;=0,"",ROUND(E47/E49,4)),"")</f>
        <v>0.7363</v>
      </c>
      <c r="F50" s="4" t="s">
        <v>280</v>
      </c>
    </row>
    <row r="51" customFormat="false" ht="15" hidden="false" customHeight="false" outlineLevel="0" collapsed="false">
      <c r="A51" s="0" t="s">
        <v>7</v>
      </c>
      <c r="B51" s="3" t="n">
        <f aca="false">IF(B49&lt;=0,"",ROUND(B47/B49*12/Assumptions!$B$15,4))</f>
        <v>1.061</v>
      </c>
      <c r="C51" s="4" t="s">
        <v>281</v>
      </c>
      <c r="D51" s="4" t="s">
        <v>282</v>
      </c>
      <c r="E51" s="3" t="n">
        <f aca="false">IF(ISNUMBER($B$55),IF(E49&lt;=0,"",ROUND(E47/E49*12/Assumptions!$B$15,4)),"")</f>
        <v>0.9817</v>
      </c>
      <c r="F51" s="4" t="s">
        <v>283</v>
      </c>
    </row>
    <row r="52" customFormat="false" ht="15" hidden="false" customHeight="false" outlineLevel="0" collapsed="false">
      <c r="A52" s="0" t="s">
        <v>284</v>
      </c>
      <c r="B52" s="10" t="n">
        <f aca="false">B26+B27+B28+B29+Assumptions!$B$10/100*(Assumptions!$B$12/100)*(B26+B27+B28+B29)+Assumptions!$B$10/100*Assumptions!$B$11/100/12*((B26+B29)*Assumptions!$B$15+(B27+B28)*(B30/2+B31))+B38+B41+B45</f>
        <v>920363.84</v>
      </c>
      <c r="C52" s="4" t="s">
        <v>285</v>
      </c>
      <c r="D52" s="4" t="s">
        <v>286</v>
      </c>
    </row>
    <row r="53" customFormat="false" ht="15" hidden="false" customHeight="false" outlineLevel="0" collapsed="false">
      <c r="A53" s="0" t="s">
        <v>287</v>
      </c>
      <c r="B53" s="11" t="n">
        <f aca="false">1+Assumptions!$B$2/100+Assumptions!$B$10/100*(Assumptions!$B$12/100+Assumptions!$B$11/100/12*Assumptions!$B$15)+(Assumptions!$B$16/100)*Assumptions!$B$15/12</f>
        <v>1.1027016375</v>
      </c>
      <c r="C53" s="4" t="s">
        <v>288</v>
      </c>
      <c r="D53" s="4" t="s">
        <v>289</v>
      </c>
    </row>
    <row r="54" customFormat="false" ht="15" hidden="false" customHeight="false" outlineLevel="0" collapsed="false">
      <c r="A54" s="0" t="s">
        <v>290</v>
      </c>
      <c r="B54" s="10" t="n">
        <f aca="false">B24*(1-Assumptions!$B$20/100)-B52</f>
        <v>345626.585</v>
      </c>
      <c r="C54" s="4" t="s">
        <v>291</v>
      </c>
      <c r="D54" s="4" t="s">
        <v>292</v>
      </c>
    </row>
    <row r="55" customFormat="false" ht="15" hidden="false" customHeight="false" outlineLevel="0" collapsed="false">
      <c r="A55" s="0" t="s">
        <v>293</v>
      </c>
      <c r="B55" s="2" t="n">
        <f aca="false">IF(B54&lt;0,"none",ROUNDDOWN(B54/B53,2))</f>
        <v>313436.17</v>
      </c>
      <c r="C55" s="4" t="s">
        <v>294</v>
      </c>
      <c r="D55" s="4" t="s">
        <v>295</v>
      </c>
    </row>
    <row r="56" customFormat="false" ht="15" hidden="false" customHeight="false" outlineLevel="0" collapsed="false">
      <c r="A56" s="0" t="s">
        <v>296</v>
      </c>
      <c r="B56" s="2" t="n">
        <f aca="false">IF(ISNUMBER(B55),B55-B2,"")</f>
        <v>13436.17</v>
      </c>
      <c r="C56" s="4" t="s">
        <v>297</v>
      </c>
      <c r="D56" s="4" t="s">
        <v>298</v>
      </c>
    </row>
    <row r="57" customFormat="false" ht="15" hidden="false" customHeight="false" outlineLevel="0" collapsed="false">
      <c r="A57" s="0" t="s">
        <v>299</v>
      </c>
      <c r="B57" s="2" t="n">
        <f aca="false">ROUND(B24*Assumptions!$B$20/100,2)</f>
        <v>223410.08</v>
      </c>
      <c r="C57" s="4" t="s">
        <v>300</v>
      </c>
      <c r="D57" s="4" t="s">
        <v>301</v>
      </c>
    </row>
    <row r="58" customFormat="false" ht="15" hidden="false" customHeight="false" outlineLevel="0" collapsed="false">
      <c r="A58" s="0" t="s">
        <v>302</v>
      </c>
      <c r="B58" s="2" t="n">
        <f aca="false">IF(ISNUMBER(B55),E47,"")</f>
        <v>223410.08</v>
      </c>
      <c r="C58" s="4" t="s">
        <v>303</v>
      </c>
      <c r="D58" s="4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107</v>
      </c>
      <c r="F1" s="1" t="s">
        <v>108</v>
      </c>
      <c r="G1" s="1" t="s">
        <v>109</v>
      </c>
    </row>
    <row r="2" customFormat="false" ht="15" hidden="false" customHeight="false" outlineLevel="0" collapsed="false">
      <c r="A2" s="0" t="s">
        <v>110</v>
      </c>
      <c r="B2" s="2" t="n">
        <v>495000</v>
      </c>
      <c r="C2" s="4" t="s">
        <v>111</v>
      </c>
      <c r="D2" s="4" t="s">
        <v>112</v>
      </c>
    </row>
    <row r="3" customFormat="false" ht="15" hidden="false" customHeight="false" outlineLevel="0" collapsed="false">
      <c r="A3" s="0" t="s">
        <v>113</v>
      </c>
      <c r="B3" s="5" t="n">
        <v>6200</v>
      </c>
      <c r="C3" s="4" t="s">
        <v>111</v>
      </c>
      <c r="D3" s="4" t="s">
        <v>114</v>
      </c>
    </row>
    <row r="4" customFormat="false" ht="15" hidden="false" customHeight="false" outlineLevel="0" collapsed="false">
      <c r="A4" s="0" t="s">
        <v>115</v>
      </c>
      <c r="B4" s="0" t="s">
        <v>305</v>
      </c>
      <c r="C4" s="0" t="s">
        <v>117</v>
      </c>
      <c r="D4" s="0" t="s">
        <v>118</v>
      </c>
    </row>
    <row r="5" customFormat="false" ht="15" hidden="false" customHeight="false" outlineLevel="0" collapsed="false">
      <c r="A5" s="0" t="s">
        <v>119</v>
      </c>
      <c r="B5" s="6" t="b">
        <f aca="false">FALSE()</f>
        <v>0</v>
      </c>
      <c r="C5" s="4" t="s">
        <v>111</v>
      </c>
      <c r="D5" s="4" t="s">
        <v>120</v>
      </c>
    </row>
    <row r="6" customFormat="false" ht="15" hidden="false" customHeight="false" outlineLevel="0" collapsed="false">
      <c r="A6" s="0" t="s">
        <v>121</v>
      </c>
      <c r="B6" s="5"/>
      <c r="C6" s="4" t="s">
        <v>122</v>
      </c>
      <c r="D6" s="4" t="s">
        <v>123</v>
      </c>
    </row>
    <row r="7" customFormat="false" ht="15" hidden="false" customHeight="false" outlineLevel="0" collapsed="false">
      <c r="A7" s="0" t="s">
        <v>124</v>
      </c>
      <c r="B7" s="2" t="n">
        <v>640000</v>
      </c>
      <c r="C7" s="4" t="s">
        <v>111</v>
      </c>
      <c r="D7" s="4" t="s">
        <v>125</v>
      </c>
    </row>
    <row r="8" customFormat="false" ht="15" hidden="false" customHeight="false" outlineLevel="0" collapsed="false">
      <c r="A8" s="0" t="s">
        <v>126</v>
      </c>
      <c r="B8" s="5" t="n">
        <v>2300</v>
      </c>
      <c r="C8" s="4" t="s">
        <v>127</v>
      </c>
      <c r="D8" s="4" t="s">
        <v>128</v>
      </c>
      <c r="G8" s="3" t="n">
        <f aca="false">IF(B8&gt;=Assumptions!$B$24,ROUND(B7/B8,4),"")</f>
        <v>278.2609</v>
      </c>
    </row>
    <row r="9" customFormat="false" ht="15" hidden="false" customHeight="false" outlineLevel="0" collapsed="false">
      <c r="A9" s="0" t="s">
        <v>129</v>
      </c>
      <c r="B9" s="2" t="n">
        <v>690000</v>
      </c>
      <c r="C9" s="4" t="s">
        <v>111</v>
      </c>
      <c r="D9" s="4" t="s">
        <v>130</v>
      </c>
    </row>
    <row r="10" customFormat="false" ht="15" hidden="false" customHeight="false" outlineLevel="0" collapsed="false">
      <c r="A10" s="0" t="s">
        <v>131</v>
      </c>
      <c r="B10" s="5" t="n">
        <v>2500</v>
      </c>
      <c r="C10" s="4" t="s">
        <v>127</v>
      </c>
      <c r="D10" s="4" t="s">
        <v>132</v>
      </c>
      <c r="G10" s="3" t="n">
        <f aca="false">IF(B10&gt;=Assumptions!$B$24,ROUND(B9/B10,4),"")</f>
        <v>276</v>
      </c>
    </row>
    <row r="11" customFormat="false" ht="15" hidden="false" customHeight="false" outlineLevel="0" collapsed="false">
      <c r="A11" s="0" t="s">
        <v>133</v>
      </c>
      <c r="B11" s="2" t="n">
        <v>610000</v>
      </c>
      <c r="C11" s="4" t="s">
        <v>111</v>
      </c>
      <c r="D11" s="4" t="s">
        <v>134</v>
      </c>
    </row>
    <row r="12" customFormat="false" ht="15" hidden="false" customHeight="false" outlineLevel="0" collapsed="false">
      <c r="A12" s="0" t="s">
        <v>135</v>
      </c>
      <c r="B12" s="5" t="n">
        <v>2250</v>
      </c>
      <c r="C12" s="4" t="s">
        <v>127</v>
      </c>
      <c r="D12" s="4" t="s">
        <v>136</v>
      </c>
      <c r="G12" s="3" t="n">
        <f aca="false">IF(B12&gt;=Assumptions!$B$24,ROUND(B11/B12,4),"")</f>
        <v>271.1111</v>
      </c>
    </row>
    <row r="13" customFormat="false" ht="15" hidden="false" customHeight="false" outlineLevel="0" collapsed="false">
      <c r="A13" s="0" t="s">
        <v>137</v>
      </c>
      <c r="B13" s="2" t="n">
        <v>720000</v>
      </c>
      <c r="C13" s="4" t="s">
        <v>111</v>
      </c>
      <c r="D13" s="4" t="s">
        <v>138</v>
      </c>
    </row>
    <row r="14" customFormat="false" ht="15" hidden="false" customHeight="false" outlineLevel="0" collapsed="false">
      <c r="A14" s="0" t="s">
        <v>139</v>
      </c>
      <c r="B14" s="5" t="n">
        <v>2700</v>
      </c>
      <c r="C14" s="4" t="s">
        <v>127</v>
      </c>
      <c r="D14" s="4" t="s">
        <v>140</v>
      </c>
      <c r="G14" s="3" t="n">
        <f aca="false">IF(B14&gt;=Assumptions!$B$24,ROUND(B13/B14,4),"")</f>
        <v>266.6667</v>
      </c>
    </row>
    <row r="15" customFormat="false" ht="15" hidden="false" customHeight="false" outlineLevel="0" collapsed="false">
      <c r="A15" s="0" t="s">
        <v>153</v>
      </c>
      <c r="B15" s="7" t="n">
        <f aca="false">IF(ISNUMBER(MATCH("as.rule."&amp;B4&amp;".coverage_pct",Assumptions!$D$2:$D$31,0)),INDEX(Assumptions!$B$2:$B$31,MATCH("as.rule."&amp;B4&amp;".coverage_pct",Assumptions!$D$2:$D$31,0)),INDEX(Assumptions!$B$2:$B$31,MATCH("as.rule.default.coverage_pct",Assumptions!$D$2:$D$31,0)))</f>
        <v>40</v>
      </c>
      <c r="C15" s="4" t="s">
        <v>154</v>
      </c>
      <c r="D15" s="4" t="s">
        <v>155</v>
      </c>
    </row>
    <row r="16" customFormat="false" ht="15" hidden="false" customHeight="false" outlineLevel="0" collapsed="false">
      <c r="A16" s="0" t="s">
        <v>156</v>
      </c>
      <c r="B16" s="8" t="n">
        <f aca="false">IF(ISNUMBER(MATCH("as.rule."&amp;B4&amp;".stories",Assumptions!$D$2:$D$31,0)),INDEX(Assumptions!$B$2:$B$31,MATCH("as.rule."&amp;B4&amp;".stories",Assumptions!$D$2:$D$31,0)),INDEX(Assumptions!$B$2:$B$31,MATCH("as.rule.default.stories",Assumptions!$D$2:$D$31,0)))</f>
        <v>2</v>
      </c>
      <c r="C16" s="4" t="s">
        <v>154</v>
      </c>
      <c r="D16" s="4" t="s">
        <v>157</v>
      </c>
    </row>
    <row r="17" customFormat="false" ht="15" hidden="false" customHeight="false" outlineLevel="0" collapsed="false">
      <c r="A17" s="0" t="s">
        <v>158</v>
      </c>
      <c r="B17" s="7" t="n">
        <f aca="false">IF(ISNUMBER(MATCH("as.rule."&amp;B4&amp;".living_share_pct",Assumptions!$D$2:$D$31,0)),INDEX(Assumptions!$B$2:$B$31,MATCH("as.rule."&amp;B4&amp;".living_share_pct",Assumptions!$D$2:$D$31,0)),INDEX(Assumptions!$B$2:$B$31,MATCH("as.rule.default.living_share_pct",Assumptions!$D$2:$D$31,0)))</f>
        <v>50</v>
      </c>
      <c r="C17" s="4" t="s">
        <v>154</v>
      </c>
      <c r="D17" s="4" t="s">
        <v>159</v>
      </c>
    </row>
    <row r="18" customFormat="false" ht="15" hidden="false" customHeight="false" outlineLevel="0" collapsed="false">
      <c r="A18" s="0" t="s">
        <v>160</v>
      </c>
      <c r="B18" s="2" t="n">
        <f aca="false">B3*B15/100</f>
        <v>2480</v>
      </c>
      <c r="C18" s="4" t="s">
        <v>161</v>
      </c>
      <c r="D18" s="4" t="s">
        <v>162</v>
      </c>
    </row>
    <row r="19" customFormat="false" ht="15" hidden="false" customHeight="false" outlineLevel="0" collapsed="false">
      <c r="A19" s="0" t="s">
        <v>163</v>
      </c>
      <c r="B19" s="2" t="n">
        <f aca="false">B18*B16</f>
        <v>4960</v>
      </c>
      <c r="C19" s="4" t="s">
        <v>164</v>
      </c>
      <c r="D19" s="4" t="s">
        <v>165</v>
      </c>
    </row>
    <row r="20" customFormat="false" ht="15" hidden="false" customHeight="false" outlineLevel="0" collapsed="false">
      <c r="A20" s="0" t="s">
        <v>166</v>
      </c>
      <c r="B20" s="2" t="n">
        <f aca="false">B19*B17/100</f>
        <v>2480</v>
      </c>
      <c r="C20" s="4" t="s">
        <v>167</v>
      </c>
      <c r="D20" s="4" t="s">
        <v>168</v>
      </c>
    </row>
    <row r="21" customFormat="false" ht="15" hidden="false" customHeight="false" outlineLevel="0" collapsed="false">
      <c r="A21" s="0" t="s">
        <v>169</v>
      </c>
      <c r="B21" s="5" t="n">
        <f aca="false">ROUND(MIN(MAX(B20,Assumptions!$B$21),Assumptions!$B$22),0)</f>
        <v>2480</v>
      </c>
      <c r="C21" s="4" t="s">
        <v>170</v>
      </c>
      <c r="D21" s="4" t="s">
        <v>171</v>
      </c>
    </row>
    <row r="22" customFormat="false" ht="15" hidden="false" customHeight="false" outlineLevel="0" collapsed="false">
      <c r="A22" s="0" t="s">
        <v>172</v>
      </c>
      <c r="B22" s="8" t="n">
        <f aca="false">COUNT(G7:G14)</f>
        <v>4</v>
      </c>
      <c r="C22" s="4" t="s">
        <v>173</v>
      </c>
      <c r="D22" s="4" t="s">
        <v>174</v>
      </c>
    </row>
    <row r="23" customFormat="false" ht="15" hidden="false" customHeight="false" outlineLevel="0" collapsed="false">
      <c r="A23" s="0" t="s">
        <v>175</v>
      </c>
      <c r="B23" s="9" t="n">
        <f aca="false">MEDIAN(G7:G14)</f>
        <v>273.55555</v>
      </c>
      <c r="C23" s="4" t="s">
        <v>176</v>
      </c>
      <c r="D23" s="4" t="s">
        <v>177</v>
      </c>
    </row>
    <row r="24" customFormat="false" ht="15" hidden="false" customHeight="false" outlineLevel="0" collapsed="false">
      <c r="A24" s="0" t="s">
        <v>178</v>
      </c>
      <c r="B24" s="2" t="n">
        <f aca="false">ROUND(B23*B21*(1+Assumptions!$B$25/100),2)</f>
        <v>678417.76</v>
      </c>
      <c r="C24" s="4" t="s">
        <v>179</v>
      </c>
      <c r="D24" s="4" t="s">
        <v>180</v>
      </c>
    </row>
    <row r="25" customFormat="false" ht="15" hidden="false" customHeight="false" outlineLevel="0" collapsed="false">
      <c r="A25" s="0" t="s">
        <v>181</v>
      </c>
      <c r="B25" s="2" t="n">
        <f aca="false">ROUND(B2*Assumptions!$B$2/100,2)</f>
        <v>4950</v>
      </c>
      <c r="C25" s="4" t="s">
        <v>182</v>
      </c>
      <c r="D25" s="4" t="s">
        <v>183</v>
      </c>
      <c r="E25" s="2" t="str">
        <f aca="false">IF(ISNUMBER($B$55),ROUND($B$55*Assumptions!$B$2/100,2),"")</f>
        <v/>
      </c>
      <c r="F25" s="4" t="s">
        <v>184</v>
      </c>
    </row>
    <row r="26" customFormat="false" ht="15" hidden="false" customHeight="false" outlineLevel="0" collapsed="false">
      <c r="A26" s="0" t="s">
        <v>185</v>
      </c>
      <c r="B26" s="2" t="n">
        <f aca="false">IF(B5,0,ROUND(Assumptions!$B$3+Assumptions!$B$4*IF(ISBLANK(B6),Assumptions!$B$5,B6),2))</f>
        <v>14500</v>
      </c>
      <c r="C26" s="4" t="s">
        <v>186</v>
      </c>
      <c r="D26" s="4" t="s">
        <v>187</v>
      </c>
      <c r="E26" s="2" t="str">
        <f aca="false">IF(ISNUMBER($B$55),IF(B5,0,ROUND(Assumptions!$B$3+Assumptions!$B$4*IF(ISBLANK(B6),Assumptions!$B$5,B6),2)),"")</f>
        <v/>
      </c>
      <c r="F26" s="4" t="s">
        <v>188</v>
      </c>
    </row>
    <row r="27" customFormat="false" ht="15" hidden="false" customHeight="false" outlineLevel="0" collapsed="false">
      <c r="A27" s="0" t="s">
        <v>189</v>
      </c>
      <c r="B27" s="2" t="n">
        <f aca="false">ROUND(B21*Assumptions!$B$6,2)</f>
        <v>471200</v>
      </c>
      <c r="C27" s="4" t="s">
        <v>190</v>
      </c>
      <c r="D27" s="4" t="s">
        <v>191</v>
      </c>
      <c r="E27" s="2" t="str">
        <f aca="false">IF(ISNUMBER($B$55),ROUND(B21*Assumptions!$B$6,2),"")</f>
        <v/>
      </c>
      <c r="F27" s="4" t="s">
        <v>192</v>
      </c>
    </row>
    <row r="28" customFormat="false" ht="15" hidden="false" customHeight="false" outlineLevel="0" collapsed="false">
      <c r="A28" s="0" t="s">
        <v>193</v>
      </c>
      <c r="B28" s="2" t="n">
        <f aca="false">ROUND(B27*Assumptions!$B$7/100,2)</f>
        <v>23560</v>
      </c>
      <c r="C28" s="4" t="s">
        <v>194</v>
      </c>
      <c r="D28" s="4" t="s">
        <v>195</v>
      </c>
      <c r="E28" s="2" t="str">
        <f aca="false">IF(ISNUMBER($B$55),ROUND(E27*Assumptions!$B$7/100,2),"")</f>
        <v/>
      </c>
      <c r="F28" s="4" t="s">
        <v>196</v>
      </c>
    </row>
    <row r="29" customFormat="false" ht="15" hidden="false" customHeight="false" outlineLevel="0" collapsed="false">
      <c r="A29" s="0" t="s">
        <v>197</v>
      </c>
      <c r="B29" s="2" t="n">
        <f aca="false">ROUND(B27*Assumptions!$B$8/100,2)</f>
        <v>56544</v>
      </c>
      <c r="C29" s="4" t="s">
        <v>198</v>
      </c>
      <c r="D29" s="4" t="s">
        <v>199</v>
      </c>
      <c r="E29" s="2" t="str">
        <f aca="false">IF(ISNUMBER($B$55),ROUND(E27*Assumptions!$B$8/100,2),"")</f>
        <v/>
      </c>
      <c r="F29" s="4" t="s">
        <v>200</v>
      </c>
    </row>
    <row r="30" customFormat="false" ht="15" hidden="false" customHeight="false" outlineLevel="0" collapsed="false">
      <c r="A30" s="0" t="s">
        <v>201</v>
      </c>
      <c r="B30" s="7" t="n">
        <f aca="false">Assumptions!$B$15*Assumptions!$B$9/100</f>
        <v>6.3</v>
      </c>
      <c r="C30" s="4" t="s">
        <v>202</v>
      </c>
      <c r="D30" s="4" t="s">
        <v>203</v>
      </c>
      <c r="E30" s="7" t="str">
        <f aca="false">IF(ISNUMBER($B$55),Assumptions!$B$15*Assumptions!$B$9/100,"")</f>
        <v/>
      </c>
      <c r="F30" s="4" t="s">
        <v>204</v>
      </c>
    </row>
    <row r="31" customFormat="false" ht="15" hidden="false" customHeight="false" outlineLevel="0" collapsed="false">
      <c r="A31" s="0" t="s">
        <v>205</v>
      </c>
      <c r="B31" s="7" t="n">
        <f aca="false">Assumptions!$B$15-B30</f>
        <v>2.7</v>
      </c>
      <c r="C31" s="4" t="s">
        <v>206</v>
      </c>
      <c r="D31" s="4" t="s">
        <v>207</v>
      </c>
      <c r="E31" s="7" t="str">
        <f aca="false">IF(ISNUMBER($B$55),Assumptions!$B$15-E30,"")</f>
        <v/>
      </c>
      <c r="F31" s="4" t="s">
        <v>208</v>
      </c>
    </row>
    <row r="32" customFormat="false" ht="15" hidden="false" customHeight="false" outlineLevel="0" collapsed="false">
      <c r="A32" s="0" t="s">
        <v>209</v>
      </c>
      <c r="B32" s="2" t="n">
        <f aca="false">B2+B26+B27+B28+B29</f>
        <v>1060804</v>
      </c>
      <c r="C32" s="4" t="s">
        <v>210</v>
      </c>
      <c r="D32" s="4" t="s">
        <v>211</v>
      </c>
      <c r="E32" s="2" t="str">
        <f aca="false">IF(ISNUMBER($B$55),$B$55+E26+E27+E28+E29,"")</f>
        <v/>
      </c>
      <c r="F32" s="4" t="s">
        <v>212</v>
      </c>
    </row>
    <row r="33" customFormat="false" ht="15" hidden="false" customHeight="false" outlineLevel="0" collapsed="false">
      <c r="A33" s="0" t="s">
        <v>213</v>
      </c>
      <c r="B33" s="2" t="n">
        <f aca="false">ROUND(B32*Assumptions!$B$10/100,2)</f>
        <v>848643.2</v>
      </c>
      <c r="C33" s="4" t="s">
        <v>214</v>
      </c>
      <c r="D33" s="4" t="s">
        <v>215</v>
      </c>
      <c r="E33" s="2" t="str">
        <f aca="false">IF(ISNUMBER($B$55),ROUND(E32*Assumptions!$B$10/100,2),"")</f>
        <v/>
      </c>
      <c r="F33" s="4" t="s">
        <v>216</v>
      </c>
    </row>
    <row r="34" customFormat="false" ht="15" hidden="false" customHeight="false" outlineLevel="0" collapsed="false">
      <c r="A34" s="0" t="s">
        <v>217</v>
      </c>
      <c r="B34" s="2" t="n">
        <f aca="false">ROUND((B2+B26+B29)*Assumptions!$B$10/100*Assumptions!$B$11/100/12*Assumptions!$B$15,2)</f>
        <v>33962.64</v>
      </c>
      <c r="C34" s="4" t="s">
        <v>218</v>
      </c>
      <c r="D34" s="4" t="s">
        <v>219</v>
      </c>
      <c r="E34" s="2" t="str">
        <f aca="false">IF(ISNUMBER($B$55),ROUND(($B$55+E26+E29)*Assumptions!$B$10/100*Assumptions!$B$11/100/12*Assumptions!$B$15,2),"")</f>
        <v/>
      </c>
      <c r="F34" s="4" t="s">
        <v>220</v>
      </c>
    </row>
    <row r="35" customFormat="false" ht="15" hidden="false" customHeight="false" outlineLevel="0" collapsed="false">
      <c r="A35" s="0" t="s">
        <v>221</v>
      </c>
      <c r="B35" s="2" t="n">
        <f aca="false">ROUND((B27+B28)*Assumptions!$B$10/100*Assumptions!$B$11/100/12*(B30/2+B31),2)</f>
        <v>19295.64</v>
      </c>
      <c r="C35" s="4" t="s">
        <v>222</v>
      </c>
      <c r="D35" s="4" t="s">
        <v>223</v>
      </c>
      <c r="E35" s="2" t="str">
        <f aca="false">IF(ISNUMBER($B$55),ROUND((E27+E28)*Assumptions!$B$10/100*Assumptions!$B$11/100/12*(E30/2+E31),2),"")</f>
        <v/>
      </c>
      <c r="F35" s="4" t="s">
        <v>224</v>
      </c>
    </row>
    <row r="36" customFormat="false" ht="15" hidden="false" customHeight="false" outlineLevel="0" collapsed="false">
      <c r="A36" s="0" t="s">
        <v>225</v>
      </c>
      <c r="B36" s="2" t="n">
        <f aca="false">B34+B35</f>
        <v>53258.28</v>
      </c>
      <c r="C36" s="4" t="s">
        <v>226</v>
      </c>
      <c r="D36" s="4" t="s">
        <v>227</v>
      </c>
      <c r="E36" s="2" t="str">
        <f aca="false">IF(ISNUMBER($B$55),E34+E35,"")</f>
        <v/>
      </c>
      <c r="F36" s="4" t="s">
        <v>228</v>
      </c>
    </row>
    <row r="37" customFormat="false" ht="15" hidden="false" customHeight="false" outlineLevel="0" collapsed="false">
      <c r="A37" s="0" t="s">
        <v>229</v>
      </c>
      <c r="B37" s="2" t="n">
        <f aca="false">ROUND(B33*Assumptions!$B$12/100,2)</f>
        <v>16972.86</v>
      </c>
      <c r="C37" s="4" t="s">
        <v>230</v>
      </c>
      <c r="D37" s="4" t="s">
        <v>231</v>
      </c>
      <c r="E37" s="2" t="str">
        <f aca="false">IF(ISNUMBER($B$55),ROUND(E33*Assumptions!$B$12/100,2),"")</f>
        <v/>
      </c>
      <c r="F37" s="4" t="s">
        <v>232</v>
      </c>
    </row>
    <row r="38" customFormat="false" ht="15" hidden="false" customHeight="false" outlineLevel="0" collapsed="false">
      <c r="A38" s="0" t="s">
        <v>233</v>
      </c>
      <c r="B38" s="2" t="n">
        <f aca="false">Assumptions!$B$13*Assumptions!$B$14</f>
        <v>1000</v>
      </c>
      <c r="C38" s="4" t="s">
        <v>234</v>
      </c>
      <c r="D38" s="4" t="s">
        <v>235</v>
      </c>
      <c r="E38" s="2" t="str">
        <f aca="false">IF(ISNUMBER($B$55),Assumptions!$B$13*Assumptions!$B$14,"")</f>
        <v/>
      </c>
      <c r="F38" s="4" t="s">
        <v>236</v>
      </c>
    </row>
    <row r="39" customFormat="false" ht="15" hidden="false" customHeight="false" outlineLevel="0" collapsed="false">
      <c r="A39" s="0" t="s">
        <v>237</v>
      </c>
      <c r="B39" s="2" t="n">
        <f aca="false">B36+B37+B38</f>
        <v>71231.14</v>
      </c>
      <c r="C39" s="4" t="s">
        <v>238</v>
      </c>
      <c r="D39" s="4" t="s">
        <v>239</v>
      </c>
      <c r="E39" s="2" t="str">
        <f aca="false">IF(ISNUMBER($B$55),E36+E37+E38,"")</f>
        <v/>
      </c>
      <c r="F39" s="4" t="s">
        <v>240</v>
      </c>
    </row>
    <row r="40" customFormat="false" ht="15" hidden="false" customHeight="false" outlineLevel="0" collapsed="false">
      <c r="A40" s="0" t="s">
        <v>241</v>
      </c>
      <c r="B40" s="2" t="n">
        <f aca="false">ROUND(B2*Assumptions!$B$16/100*Assumptions!$B$15/12,2)</f>
        <v>8267.31</v>
      </c>
      <c r="C40" s="4" t="s">
        <v>242</v>
      </c>
      <c r="D40" s="4" t="s">
        <v>243</v>
      </c>
      <c r="E40" s="2" t="str">
        <f aca="false">IF(ISNUMBER($B$55),ROUND($B$55*Assumptions!$B$16/100*Assumptions!$B$15/12,2),"")</f>
        <v/>
      </c>
      <c r="F40" s="4" t="s">
        <v>244</v>
      </c>
    </row>
    <row r="41" customFormat="false" ht="15" hidden="false" customHeight="false" outlineLevel="0" collapsed="false">
      <c r="A41" s="0" t="s">
        <v>245</v>
      </c>
      <c r="B41" s="2" t="n">
        <f aca="false">ROUND(B27*Assumptions!$B$17/100*Assumptions!$B$15/12,2)</f>
        <v>5301</v>
      </c>
      <c r="C41" s="4" t="s">
        <v>246</v>
      </c>
      <c r="D41" s="4" t="s">
        <v>247</v>
      </c>
      <c r="E41" s="2" t="str">
        <f aca="false">IF(ISNUMBER($B$55),ROUND(E27*Assumptions!$B$17/100*Assumptions!$B$15/12,2),"")</f>
        <v/>
      </c>
      <c r="F41" s="4" t="s">
        <v>248</v>
      </c>
    </row>
    <row r="42" customFormat="false" ht="15" hidden="false" customHeight="false" outlineLevel="0" collapsed="false">
      <c r="A42" s="0" t="s">
        <v>249</v>
      </c>
      <c r="B42" s="2" t="n">
        <f aca="false">B40+B41</f>
        <v>13568.31</v>
      </c>
      <c r="C42" s="4" t="s">
        <v>250</v>
      </c>
      <c r="D42" s="4" t="s">
        <v>251</v>
      </c>
      <c r="E42" s="2" t="str">
        <f aca="false">IF(ISNUMBER($B$55),E40+E41,"")</f>
        <v/>
      </c>
      <c r="F42" s="4" t="s">
        <v>252</v>
      </c>
    </row>
    <row r="43" customFormat="false" ht="15" hidden="false" customHeight="false" outlineLevel="0" collapsed="false">
      <c r="A43" s="0" t="s">
        <v>253</v>
      </c>
      <c r="B43" s="2" t="n">
        <f aca="false">ROUND(B24*Assumptions!$B$18/100,2)</f>
        <v>33920.89</v>
      </c>
      <c r="C43" s="4" t="s">
        <v>254</v>
      </c>
      <c r="D43" s="4" t="s">
        <v>255</v>
      </c>
      <c r="E43" s="2" t="str">
        <f aca="false">IF(ISNUMBER($B$55),ROUND(B24*Assumptions!$B$18/100,2),"")</f>
        <v/>
      </c>
      <c r="F43" s="4" t="s">
        <v>256</v>
      </c>
    </row>
    <row r="44" customFormat="false" ht="15" hidden="false" customHeight="false" outlineLevel="0" collapsed="false">
      <c r="A44" s="0" t="s">
        <v>257</v>
      </c>
      <c r="B44" s="2" t="n">
        <f aca="false">ROUND(B24*Assumptions!$B$19/100,2)</f>
        <v>6784.18</v>
      </c>
      <c r="C44" s="4" t="s">
        <v>258</v>
      </c>
      <c r="D44" s="4" t="s">
        <v>259</v>
      </c>
      <c r="E44" s="2" t="str">
        <f aca="false">IF(ISNUMBER($B$55),ROUND(B24*Assumptions!$B$19/100,2),"")</f>
        <v/>
      </c>
      <c r="F44" s="4" t="s">
        <v>260</v>
      </c>
    </row>
    <row r="45" customFormat="false" ht="15" hidden="false" customHeight="false" outlineLevel="0" collapsed="false">
      <c r="A45" s="0" t="s">
        <v>261</v>
      </c>
      <c r="B45" s="2" t="n">
        <f aca="false">B43+B44</f>
        <v>40705.07</v>
      </c>
      <c r="C45" s="4" t="s">
        <v>262</v>
      </c>
      <c r="D45" s="4" t="s">
        <v>263</v>
      </c>
      <c r="E45" s="2" t="str">
        <f aca="false">IF(ISNUMBER($B$55),E43+E44,"")</f>
        <v/>
      </c>
      <c r="F45" s="4" t="s">
        <v>264</v>
      </c>
    </row>
    <row r="46" customFormat="false" ht="15" hidden="false" customHeight="false" outlineLevel="0" collapsed="false">
      <c r="A46" s="0" t="s">
        <v>3</v>
      </c>
      <c r="B46" s="2" t="n">
        <f aca="false">B2+B25+B26+B27+B28+B29+B39+B42+B45</f>
        <v>1191258.52</v>
      </c>
      <c r="C46" s="4" t="s">
        <v>265</v>
      </c>
      <c r="D46" s="4" t="s">
        <v>266</v>
      </c>
      <c r="E46" s="2" t="str">
        <f aca="false">IF(ISNUMBER($B$55),$B$55+E25+E26+E27+E28+E29+E39+E42+E45,"")</f>
        <v/>
      </c>
      <c r="F46" s="4" t="s">
        <v>267</v>
      </c>
    </row>
    <row r="47" customFormat="false" ht="15" hidden="false" customHeight="false" outlineLevel="0" collapsed="false">
      <c r="A47" s="0" t="s">
        <v>4</v>
      </c>
      <c r="B47" s="2" t="n">
        <f aca="false">B24-B46</f>
        <v>-512840.76</v>
      </c>
      <c r="C47" s="4" t="s">
        <v>268</v>
      </c>
      <c r="D47" s="4" t="s">
        <v>269</v>
      </c>
      <c r="E47" s="2" t="str">
        <f aca="false">IF(ISNUMBER($B$55),B24-E46,"")</f>
        <v/>
      </c>
      <c r="F47" s="4" t="s">
        <v>270</v>
      </c>
    </row>
    <row r="48" customFormat="false" ht="15" hidden="false" customHeight="false" outlineLevel="0" collapsed="false">
      <c r="A48" s="0" t="s">
        <v>5</v>
      </c>
      <c r="B48" s="3" t="n">
        <f aca="false">ROUND(B47/B24,4)</f>
        <v>-0.7559</v>
      </c>
      <c r="C48" s="4" t="s">
        <v>271</v>
      </c>
      <c r="D48" s="4" t="s">
        <v>272</v>
      </c>
      <c r="E48" s="3" t="str">
        <f aca="false">IF(ISNUMBER($B$55),ROUND(E47/B24,4),"")</f>
        <v/>
      </c>
      <c r="F48" s="4" t="s">
        <v>273</v>
      </c>
    </row>
    <row r="49" customFormat="false" ht="15" hidden="false" customHeight="false" outlineLevel="0" collapsed="false">
      <c r="A49" s="0" t="s">
        <v>274</v>
      </c>
      <c r="B49" s="2" t="n">
        <f aca="false">B46-B45-B33</f>
        <v>301910.25</v>
      </c>
      <c r="C49" s="4" t="s">
        <v>275</v>
      </c>
      <c r="D49" s="4" t="s">
        <v>276</v>
      </c>
      <c r="E49" s="2" t="str">
        <f aca="false">IF(ISNUMBER($B$55),E46-E45-E33,"")</f>
        <v/>
      </c>
      <c r="F49" s="4" t="s">
        <v>277</v>
      </c>
    </row>
    <row r="50" customFormat="false" ht="15" hidden="false" customHeight="false" outlineLevel="0" collapsed="false">
      <c r="A50" s="0" t="s">
        <v>6</v>
      </c>
      <c r="B50" s="3" t="n">
        <f aca="false">IF(B49&lt;=0,"",ROUND(B47/B49,4))</f>
        <v>-1.6987</v>
      </c>
      <c r="C50" s="4" t="s">
        <v>278</v>
      </c>
      <c r="D50" s="4" t="s">
        <v>279</v>
      </c>
      <c r="E50" s="3" t="str">
        <f aca="false">IF(ISNUMBER($B$55),IF(E49&lt;=0,"",ROUND(E47/E49,4)),"")</f>
        <v/>
      </c>
      <c r="F50" s="4" t="s">
        <v>280</v>
      </c>
    </row>
    <row r="51" customFormat="false" ht="15" hidden="false" customHeight="false" outlineLevel="0" collapsed="false">
      <c r="A51" s="0" t="s">
        <v>7</v>
      </c>
      <c r="B51" s="3" t="n">
        <f aca="false">IF(B49&lt;=0,"",ROUND(B47/B49*12/Assumptions!$B$15,4))</f>
        <v>-2.2649</v>
      </c>
      <c r="C51" s="4" t="s">
        <v>281</v>
      </c>
      <c r="D51" s="4" t="s">
        <v>282</v>
      </c>
      <c r="E51" s="3" t="str">
        <f aca="false">IF(ISNUMBER($B$55),IF(E49&lt;=0,"",ROUND(E47/E49*12/Assumptions!$B$15,4)),"")</f>
        <v/>
      </c>
      <c r="F51" s="4" t="s">
        <v>283</v>
      </c>
    </row>
    <row r="52" customFormat="false" ht="15" hidden="false" customHeight="false" outlineLevel="0" collapsed="false">
      <c r="A52" s="0" t="s">
        <v>284</v>
      </c>
      <c r="B52" s="10" t="n">
        <f aca="false">B26+B27+B28+B29+Assumptions!$B$10/100*(Assumptions!$B$12/100)*(B26+B27+B28+B29)+Assumptions!$B$10/100*Assumptions!$B$11/100/12*((B26+B29)*Assumptions!$B$15+(B27+B28)*(B30/2+B31))+B38+B41+B45</f>
        <v>645421.214</v>
      </c>
      <c r="C52" s="4" t="s">
        <v>285</v>
      </c>
      <c r="D52" s="4" t="s">
        <v>286</v>
      </c>
    </row>
    <row r="53" customFormat="false" ht="15" hidden="false" customHeight="false" outlineLevel="0" collapsed="false">
      <c r="A53" s="0" t="s">
        <v>287</v>
      </c>
      <c r="B53" s="11" t="n">
        <f aca="false">1+Assumptions!$B$2/100+Assumptions!$B$10/100*(Assumptions!$B$12/100+Assumptions!$B$11/100/12*Assumptions!$B$15)+(Assumptions!$B$16/100)*Assumptions!$B$15/12</f>
        <v>1.1027016375</v>
      </c>
      <c r="C53" s="4" t="s">
        <v>288</v>
      </c>
      <c r="D53" s="4" t="s">
        <v>289</v>
      </c>
    </row>
    <row r="54" customFormat="false" ht="15" hidden="false" customHeight="false" outlineLevel="0" collapsed="false">
      <c r="A54" s="0" t="s">
        <v>290</v>
      </c>
      <c r="B54" s="10" t="n">
        <f aca="false">B24*(1-Assumptions!$B$20/100)-B52</f>
        <v>-68766.1179999999</v>
      </c>
      <c r="C54" s="4" t="s">
        <v>291</v>
      </c>
      <c r="D54" s="4" t="s">
        <v>292</v>
      </c>
    </row>
    <row r="55" customFormat="false" ht="15" hidden="false" customHeight="false" outlineLevel="0" collapsed="false">
      <c r="A55" s="0" t="s">
        <v>293</v>
      </c>
      <c r="B55" s="2" t="str">
        <f aca="false">IF(B54&lt;0,"none",ROUNDDOWN(B54/B53,2))</f>
        <v>none</v>
      </c>
      <c r="C55" s="4" t="s">
        <v>294</v>
      </c>
      <c r="D55" s="4" t="s">
        <v>295</v>
      </c>
    </row>
    <row r="56" customFormat="false" ht="15" hidden="false" customHeight="false" outlineLevel="0" collapsed="false">
      <c r="A56" s="0" t="s">
        <v>296</v>
      </c>
      <c r="B56" s="2" t="str">
        <f aca="false">IF(ISNUMBER(B55),B55-B2,"")</f>
        <v/>
      </c>
      <c r="C56" s="4" t="s">
        <v>297</v>
      </c>
      <c r="D56" s="4" t="s">
        <v>298</v>
      </c>
    </row>
    <row r="57" customFormat="false" ht="15" hidden="false" customHeight="false" outlineLevel="0" collapsed="false">
      <c r="A57" s="0" t="s">
        <v>299</v>
      </c>
      <c r="B57" s="2" t="n">
        <f aca="false">ROUND(B24*Assumptions!$B$20/100,2)</f>
        <v>101762.66</v>
      </c>
      <c r="C57" s="4" t="s">
        <v>300</v>
      </c>
      <c r="D57" s="4" t="s">
        <v>301</v>
      </c>
    </row>
    <row r="58" customFormat="false" ht="15" hidden="false" customHeight="false" outlineLevel="0" collapsed="false">
      <c r="A58" s="0" t="s">
        <v>302</v>
      </c>
      <c r="B58" s="2" t="str">
        <f aca="false">IF(ISNUMBER(B55),E47,"")</f>
        <v/>
      </c>
      <c r="C58" s="4" t="s">
        <v>303</v>
      </c>
      <c r="D58" s="4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28" min="10" style="0" width="16"/>
  </cols>
  <sheetData>
    <row r="1" customFormat="false" ht="15" hidden="false" customHeight="false" outlineLevel="0" collapsed="false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319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  <c r="U1" s="1" t="s">
        <v>326</v>
      </c>
      <c r="V1" s="1" t="s">
        <v>327</v>
      </c>
      <c r="W1" s="1" t="s">
        <v>328</v>
      </c>
      <c r="X1" s="1" t="s">
        <v>329</v>
      </c>
      <c r="Y1" s="1" t="s">
        <v>330</v>
      </c>
      <c r="Z1" s="1" t="s">
        <v>331</v>
      </c>
      <c r="AA1" s="1" t="s">
        <v>332</v>
      </c>
      <c r="AB1" s="1" t="s">
        <v>333</v>
      </c>
    </row>
    <row r="2" customFormat="false" ht="15" hidden="false" customHeight="false" outlineLevel="0" collapsed="false">
      <c r="A2" s="0" t="n">
        <v>-10</v>
      </c>
      <c r="B2" s="0" t="n">
        <v>-10</v>
      </c>
      <c r="C2" s="0" t="n">
        <v>6</v>
      </c>
      <c r="D2" s="2" t="n">
        <f aca="false">ROUND(S1!$B$30*(1+A2/100),2)</f>
        <v>1278719.87</v>
      </c>
      <c r="E2" s="2" t="n">
        <f aca="false">ROUND(S1!$B$33*(1+B2/100),2)</f>
        <v>541728</v>
      </c>
      <c r="F2" s="2" t="n">
        <f aca="false">S1!$B$2+S1!$B$31+S1!$B$32+E2+M2+N2+Y2+AA2+L2</f>
        <v>1207890.18</v>
      </c>
      <c r="G2" s="2" t="n">
        <f aca="false">D2-F2</f>
        <v>70829.6900000002</v>
      </c>
      <c r="H2" s="3" t="n">
        <f aca="false">ROUND(G2/D2,4)</f>
        <v>0.0554</v>
      </c>
      <c r="I2" s="3" t="n">
        <f aca="false">IF(AB2&lt;=0,"",ROUND(G2/AB2,4))</f>
        <v>0.2541</v>
      </c>
      <c r="J2" s="2" t="n">
        <f aca="false">ROUND(D2*Assumptions!$B$18/100,2)</f>
        <v>63935.99</v>
      </c>
      <c r="K2" s="2" t="n">
        <f aca="false">ROUND(D2*Assumptions!$B$19/100,2)</f>
        <v>12787.2</v>
      </c>
      <c r="L2" s="2" t="n">
        <f aca="false">J2+K2</f>
        <v>76723.19</v>
      </c>
      <c r="M2" s="2" t="n">
        <f aca="false">ROUND(E2*Assumptions!$B$7/100,2)</f>
        <v>27086.4</v>
      </c>
      <c r="N2" s="2" t="n">
        <f aca="false">ROUND(E2*Assumptions!$B$8/100,2)</f>
        <v>65007.36</v>
      </c>
      <c r="O2" s="2" t="n">
        <f aca="false">ROUND(E2*Assumptions!$B$17/100*C2/12,2)</f>
        <v>4062.96</v>
      </c>
      <c r="P2" s="2" t="n">
        <f aca="false">C2*Assumptions!$B$9/100</f>
        <v>4.2</v>
      </c>
      <c r="Q2" s="2" t="n">
        <f aca="false">C2-P2</f>
        <v>1.8</v>
      </c>
      <c r="R2" s="2" t="n">
        <f aca="false">S1!$B$2+S1!$B$32+E2+M2+N2</f>
        <v>1065521.76</v>
      </c>
      <c r="S2" s="2" t="n">
        <f aca="false">ROUND(R2*Assumptions!$B$10/100,2)</f>
        <v>852417.41</v>
      </c>
      <c r="T2" s="2" t="n">
        <f aca="false">ROUND((S1!$B$2+S1!$B$32+N2)*Assumptions!$B$10/100*Assumptions!$B$11/100/12*C2,2)</f>
        <v>19868.29</v>
      </c>
      <c r="U2" s="2" t="n">
        <f aca="false">ROUND((E2+M2)*Assumptions!$B$10/100*Assumptions!$B$11/100/12*(P2/2+Q2),2)</f>
        <v>14789.17</v>
      </c>
      <c r="V2" s="2" t="n">
        <f aca="false">T2+U2</f>
        <v>34657.46</v>
      </c>
      <c r="W2" s="2" t="n">
        <f aca="false">ROUND(S2*Assumptions!$B$12/100,2)</f>
        <v>17048.35</v>
      </c>
      <c r="X2" s="2" t="n">
        <f aca="false">Assumptions!$B$13*Assumptions!$B$14</f>
        <v>1000</v>
      </c>
      <c r="Y2" s="2" t="n">
        <f aca="false">V2+W2+X2</f>
        <v>52705.81</v>
      </c>
      <c r="Z2" s="2" t="n">
        <f aca="false">ROUND(S1!$B$2*Assumptions!$B$16/100*C2/12,2)</f>
        <v>4676.46</v>
      </c>
      <c r="AA2" s="2" t="n">
        <f aca="false">Z2+O2</f>
        <v>8739.42</v>
      </c>
      <c r="AB2" s="2" t="n">
        <f aca="false">F2-L2-S2</f>
        <v>278749.58</v>
      </c>
    </row>
    <row r="3" customFormat="false" ht="15" hidden="false" customHeight="false" outlineLevel="0" collapsed="false">
      <c r="A3" s="0" t="n">
        <v>-10</v>
      </c>
      <c r="B3" s="0" t="n">
        <v>-10</v>
      </c>
      <c r="C3" s="0" t="n">
        <v>9</v>
      </c>
      <c r="D3" s="2" t="n">
        <f aca="false">ROUND(S1!$B$30*(1+A3/100),2)</f>
        <v>1278719.87</v>
      </c>
      <c r="E3" s="2" t="n">
        <f aca="false">ROUND(S1!$B$33*(1+B3/100),2)</f>
        <v>541728</v>
      </c>
      <c r="F3" s="2" t="n">
        <f aca="false">S1!$B$2+S1!$B$31+S1!$B$32+E3+M3+N3+Y3+AA3+L3</f>
        <v>1229588.63</v>
      </c>
      <c r="G3" s="2" t="n">
        <f aca="false">D3-F3</f>
        <v>49131.2400000002</v>
      </c>
      <c r="H3" s="3" t="n">
        <f aca="false">ROUND(G3/D3,4)</f>
        <v>0.0384</v>
      </c>
      <c r="I3" s="3" t="n">
        <f aca="false">IF(AB3&lt;=0,"",ROUND(G3/AB3,4))</f>
        <v>0.1635</v>
      </c>
      <c r="J3" s="2" t="n">
        <f aca="false">ROUND(D3*Assumptions!$B$18/100,2)</f>
        <v>63935.99</v>
      </c>
      <c r="K3" s="2" t="n">
        <f aca="false">ROUND(D3*Assumptions!$B$19/100,2)</f>
        <v>12787.2</v>
      </c>
      <c r="L3" s="2" t="n">
        <f aca="false">J3+K3</f>
        <v>76723.19</v>
      </c>
      <c r="M3" s="2" t="n">
        <f aca="false">ROUND(E3*Assumptions!$B$7/100,2)</f>
        <v>27086.4</v>
      </c>
      <c r="N3" s="2" t="n">
        <f aca="false">ROUND(E3*Assumptions!$B$8/100,2)</f>
        <v>65007.36</v>
      </c>
      <c r="O3" s="2" t="n">
        <f aca="false">ROUND(E3*Assumptions!$B$17/100*C3/12,2)</f>
        <v>6094.44</v>
      </c>
      <c r="P3" s="2" t="n">
        <f aca="false">C3*Assumptions!$B$9/100</f>
        <v>6.3</v>
      </c>
      <c r="Q3" s="2" t="n">
        <f aca="false">C3-P3</f>
        <v>2.7</v>
      </c>
      <c r="R3" s="2" t="n">
        <f aca="false">S1!$B$2+S1!$B$32+E3+M3+N3</f>
        <v>1065521.76</v>
      </c>
      <c r="S3" s="2" t="n">
        <f aca="false">ROUND(R3*Assumptions!$B$10/100,2)</f>
        <v>852417.41</v>
      </c>
      <c r="T3" s="2" t="n">
        <f aca="false">ROUND((S1!$B$2+S1!$B$32+N3)*Assumptions!$B$10/100*Assumptions!$B$11/100/12*C3,2)</f>
        <v>29802.44</v>
      </c>
      <c r="U3" s="2" t="n">
        <f aca="false">ROUND((E3+M3)*Assumptions!$B$10/100*Assumptions!$B$11/100/12*(P3/2+Q3),2)</f>
        <v>22183.76</v>
      </c>
      <c r="V3" s="2" t="n">
        <f aca="false">T3+U3</f>
        <v>51986.2</v>
      </c>
      <c r="W3" s="2" t="n">
        <f aca="false">ROUND(S3*Assumptions!$B$12/100,2)</f>
        <v>17048.35</v>
      </c>
      <c r="X3" s="2" t="n">
        <f aca="false">Assumptions!$B$13*Assumptions!$B$14</f>
        <v>1000</v>
      </c>
      <c r="Y3" s="2" t="n">
        <f aca="false">V3+W3+X3</f>
        <v>70034.55</v>
      </c>
      <c r="Z3" s="2" t="n">
        <f aca="false">ROUND(S1!$B$2*Assumptions!$B$16/100*C3/12,2)</f>
        <v>7014.69</v>
      </c>
      <c r="AA3" s="2" t="n">
        <f aca="false">Z3+O3</f>
        <v>13109.13</v>
      </c>
      <c r="AB3" s="2" t="n">
        <f aca="false">F3-L3-S3</f>
        <v>300448.03</v>
      </c>
    </row>
    <row r="4" customFormat="false" ht="15" hidden="false" customHeight="false" outlineLevel="0" collapsed="false">
      <c r="A4" s="0" t="n">
        <v>-10</v>
      </c>
      <c r="B4" s="0" t="n">
        <v>-10</v>
      </c>
      <c r="C4" s="0" t="n">
        <v>12</v>
      </c>
      <c r="D4" s="2" t="n">
        <f aca="false">ROUND(S1!$B$30*(1+A4/100),2)</f>
        <v>1278719.87</v>
      </c>
      <c r="E4" s="2" t="n">
        <f aca="false">ROUND(S1!$B$33*(1+B4/100),2)</f>
        <v>541728</v>
      </c>
      <c r="F4" s="2" t="n">
        <f aca="false">S1!$B$2+S1!$B$31+S1!$B$32+E4+M4+N4+Y4+AA4+L4</f>
        <v>1251287.08</v>
      </c>
      <c r="G4" s="2" t="n">
        <f aca="false">D4-F4</f>
        <v>27432.79</v>
      </c>
      <c r="H4" s="3" t="n">
        <f aca="false">ROUND(G4/D4,4)</f>
        <v>0.0215</v>
      </c>
      <c r="I4" s="3" t="n">
        <f aca="false">IF(AB4&lt;=0,"",ROUND(G4/AB4,4))</f>
        <v>0.0852</v>
      </c>
      <c r="J4" s="2" t="n">
        <f aca="false">ROUND(D4*Assumptions!$B$18/100,2)</f>
        <v>63935.99</v>
      </c>
      <c r="K4" s="2" t="n">
        <f aca="false">ROUND(D4*Assumptions!$B$19/100,2)</f>
        <v>12787.2</v>
      </c>
      <c r="L4" s="2" t="n">
        <f aca="false">J4+K4</f>
        <v>76723.19</v>
      </c>
      <c r="M4" s="2" t="n">
        <f aca="false">ROUND(E4*Assumptions!$B$7/100,2)</f>
        <v>27086.4</v>
      </c>
      <c r="N4" s="2" t="n">
        <f aca="false">ROUND(E4*Assumptions!$B$8/100,2)</f>
        <v>65007.36</v>
      </c>
      <c r="O4" s="2" t="n">
        <f aca="false">ROUND(E4*Assumptions!$B$17/100*C4/12,2)</f>
        <v>8125.92</v>
      </c>
      <c r="P4" s="2" t="n">
        <f aca="false">C4*Assumptions!$B$9/100</f>
        <v>8.4</v>
      </c>
      <c r="Q4" s="2" t="n">
        <f aca="false">C4-P4</f>
        <v>3.6</v>
      </c>
      <c r="R4" s="2" t="n">
        <f aca="false">S1!$B$2+S1!$B$32+E4+M4+N4</f>
        <v>1065521.76</v>
      </c>
      <c r="S4" s="2" t="n">
        <f aca="false">ROUND(R4*Assumptions!$B$10/100,2)</f>
        <v>852417.41</v>
      </c>
      <c r="T4" s="2" t="n">
        <f aca="false">ROUND((S1!$B$2+S1!$B$32+N4)*Assumptions!$B$10/100*Assumptions!$B$11/100/12*C4,2)</f>
        <v>39736.59</v>
      </c>
      <c r="U4" s="2" t="n">
        <f aca="false">ROUND((E4+M4)*Assumptions!$B$10/100*Assumptions!$B$11/100/12*(P4/2+Q4),2)</f>
        <v>29578.35</v>
      </c>
      <c r="V4" s="2" t="n">
        <f aca="false">T4+U4</f>
        <v>69314.94</v>
      </c>
      <c r="W4" s="2" t="n">
        <f aca="false">ROUND(S4*Assumptions!$B$12/100,2)</f>
        <v>17048.35</v>
      </c>
      <c r="X4" s="2" t="n">
        <f aca="false">Assumptions!$B$13*Assumptions!$B$14</f>
        <v>1000</v>
      </c>
      <c r="Y4" s="2" t="n">
        <f aca="false">V4+W4+X4</f>
        <v>87363.29</v>
      </c>
      <c r="Z4" s="2" t="n">
        <f aca="false">ROUND(S1!$B$2*Assumptions!$B$16/100*C4/12,2)</f>
        <v>9352.92</v>
      </c>
      <c r="AA4" s="2" t="n">
        <f aca="false">Z4+O4</f>
        <v>17478.84</v>
      </c>
      <c r="AB4" s="2" t="n">
        <f aca="false">F4-L4-S4</f>
        <v>322146.48</v>
      </c>
    </row>
    <row r="5" customFormat="false" ht="15" hidden="false" customHeight="false" outlineLevel="0" collapsed="false">
      <c r="A5" s="0" t="n">
        <v>-10</v>
      </c>
      <c r="B5" s="0" t="n">
        <v>0</v>
      </c>
      <c r="C5" s="0" t="n">
        <v>6</v>
      </c>
      <c r="D5" s="2" t="n">
        <f aca="false">ROUND(S1!$B$30*(1+A5/100),2)</f>
        <v>1278719.87</v>
      </c>
      <c r="E5" s="2" t="n">
        <f aca="false">ROUND(S1!$B$33*(1+B5/100),2)</f>
        <v>601920</v>
      </c>
      <c r="F5" s="2" t="n">
        <f aca="false">S1!$B$2+S1!$B$31+S1!$B$32+E5+M5+N5+Y5+AA5+L5</f>
        <v>1281825.23</v>
      </c>
      <c r="G5" s="2" t="n">
        <f aca="false">D5-F5</f>
        <v>-3105.35999999987</v>
      </c>
      <c r="H5" s="3" t="n">
        <f aca="false">ROUND(G5/D5,4)</f>
        <v>-0.0024</v>
      </c>
      <c r="I5" s="3" t="n">
        <f aca="false">IF(AB5&lt;=0,"",ROUND(G5/AB5,4))</f>
        <v>-0.0105</v>
      </c>
      <c r="J5" s="2" t="n">
        <f aca="false">ROUND(D5*Assumptions!$B$18/100,2)</f>
        <v>63935.99</v>
      </c>
      <c r="K5" s="2" t="n">
        <f aca="false">ROUND(D5*Assumptions!$B$19/100,2)</f>
        <v>12787.2</v>
      </c>
      <c r="L5" s="2" t="n">
        <f aca="false">J5+K5</f>
        <v>76723.19</v>
      </c>
      <c r="M5" s="2" t="n">
        <f aca="false">ROUND(E5*Assumptions!$B$7/100,2)</f>
        <v>30096</v>
      </c>
      <c r="N5" s="2" t="n">
        <f aca="false">ROUND(E5*Assumptions!$B$8/100,2)</f>
        <v>72230.4</v>
      </c>
      <c r="O5" s="2" t="n">
        <f aca="false">ROUND(E5*Assumptions!$B$17/100*C5/12,2)</f>
        <v>4514.4</v>
      </c>
      <c r="P5" s="2" t="n">
        <f aca="false">C5*Assumptions!$B$9/100</f>
        <v>4.2</v>
      </c>
      <c r="Q5" s="2" t="n">
        <f aca="false">C5-P5</f>
        <v>1.8</v>
      </c>
      <c r="R5" s="2" t="n">
        <f aca="false">S1!$B$2+S1!$B$32+E5+M5+N5</f>
        <v>1135946.4</v>
      </c>
      <c r="S5" s="2" t="n">
        <f aca="false">ROUND(R5*Assumptions!$B$10/100,2)</f>
        <v>908757.12</v>
      </c>
      <c r="T5" s="2" t="n">
        <f aca="false">ROUND((S1!$B$2+S1!$B$32+N5)*Assumptions!$B$10/100*Assumptions!$B$11/100/12*C5,2)</f>
        <v>20157.22</v>
      </c>
      <c r="U5" s="2" t="n">
        <f aca="false">ROUND((E5+M5)*Assumptions!$B$10/100*Assumptions!$B$11/100/12*(P5/2+Q5),2)</f>
        <v>16432.42</v>
      </c>
      <c r="V5" s="2" t="n">
        <f aca="false">T5+U5</f>
        <v>36589.64</v>
      </c>
      <c r="W5" s="2" t="n">
        <f aca="false">ROUND(S5*Assumptions!$B$12/100,2)</f>
        <v>18175.14</v>
      </c>
      <c r="X5" s="2" t="n">
        <f aca="false">Assumptions!$B$13*Assumptions!$B$14</f>
        <v>1000</v>
      </c>
      <c r="Y5" s="2" t="n">
        <f aca="false">V5+W5+X5</f>
        <v>55764.78</v>
      </c>
      <c r="Z5" s="2" t="n">
        <f aca="false">ROUND(S1!$B$2*Assumptions!$B$16/100*C5/12,2)</f>
        <v>4676.46</v>
      </c>
      <c r="AA5" s="2" t="n">
        <f aca="false">Z5+O5</f>
        <v>9190.86</v>
      </c>
      <c r="AB5" s="2" t="n">
        <f aca="false">F5-L5-S5</f>
        <v>296344.92</v>
      </c>
    </row>
    <row r="6" customFormat="false" ht="15" hidden="false" customHeight="false" outlineLevel="0" collapsed="false">
      <c r="A6" s="0" t="n">
        <v>-10</v>
      </c>
      <c r="B6" s="0" t="n">
        <v>0</v>
      </c>
      <c r="C6" s="0" t="n">
        <v>9</v>
      </c>
      <c r="D6" s="2" t="n">
        <f aca="false">ROUND(S1!$B$30*(1+A6/100),2)</f>
        <v>1278719.87</v>
      </c>
      <c r="E6" s="2" t="n">
        <f aca="false">ROUND(S1!$B$33*(1+B6/100),2)</f>
        <v>601920</v>
      </c>
      <c r="F6" s="2" t="n">
        <f aca="false">S1!$B$2+S1!$B$31+S1!$B$32+E6+M6+N6+Y6+AA6+L6</f>
        <v>1304715.46</v>
      </c>
      <c r="G6" s="2" t="n">
        <f aca="false">D6-F6</f>
        <v>-25995.5899999999</v>
      </c>
      <c r="H6" s="3" t="n">
        <f aca="false">ROUND(G6/D6,4)</f>
        <v>-0.0203</v>
      </c>
      <c r="I6" s="3" t="n">
        <f aca="false">IF(AB6&lt;=0,"",ROUND(G6/AB6,4))</f>
        <v>-0.0814</v>
      </c>
      <c r="J6" s="2" t="n">
        <f aca="false">ROUND(D6*Assumptions!$B$18/100,2)</f>
        <v>63935.99</v>
      </c>
      <c r="K6" s="2" t="n">
        <f aca="false">ROUND(D6*Assumptions!$B$19/100,2)</f>
        <v>12787.2</v>
      </c>
      <c r="L6" s="2" t="n">
        <f aca="false">J6+K6</f>
        <v>76723.19</v>
      </c>
      <c r="M6" s="2" t="n">
        <f aca="false">ROUND(E6*Assumptions!$B$7/100,2)</f>
        <v>30096</v>
      </c>
      <c r="N6" s="2" t="n">
        <f aca="false">ROUND(E6*Assumptions!$B$8/100,2)</f>
        <v>72230.4</v>
      </c>
      <c r="O6" s="2" t="n">
        <f aca="false">ROUND(E6*Assumptions!$B$17/100*C6/12,2)</f>
        <v>6771.6</v>
      </c>
      <c r="P6" s="2" t="n">
        <f aca="false">C6*Assumptions!$B$9/100</f>
        <v>6.3</v>
      </c>
      <c r="Q6" s="2" t="n">
        <f aca="false">C6-P6</f>
        <v>2.7</v>
      </c>
      <c r="R6" s="2" t="n">
        <f aca="false">S1!$B$2+S1!$B$32+E6+M6+N6</f>
        <v>1135946.4</v>
      </c>
      <c r="S6" s="2" t="n">
        <f aca="false">ROUND(R6*Assumptions!$B$10/100,2)</f>
        <v>908757.12</v>
      </c>
      <c r="T6" s="2" t="n">
        <f aca="false">ROUND((S1!$B$2+S1!$B$32+N6)*Assumptions!$B$10/100*Assumptions!$B$11/100/12*C6,2)</f>
        <v>30235.82</v>
      </c>
      <c r="U6" s="2" t="n">
        <f aca="false">ROUND((E6+M6)*Assumptions!$B$10/100*Assumptions!$B$11/100/12*(P6/2+Q6),2)</f>
        <v>24648.62</v>
      </c>
      <c r="V6" s="2" t="n">
        <f aca="false">T6+U6</f>
        <v>54884.44</v>
      </c>
      <c r="W6" s="2" t="n">
        <f aca="false">ROUND(S6*Assumptions!$B$12/100,2)</f>
        <v>18175.14</v>
      </c>
      <c r="X6" s="2" t="n">
        <f aca="false">Assumptions!$B$13*Assumptions!$B$14</f>
        <v>1000</v>
      </c>
      <c r="Y6" s="2" t="n">
        <f aca="false">V6+W6+X6</f>
        <v>74059.58</v>
      </c>
      <c r="Z6" s="2" t="n">
        <f aca="false">ROUND(S1!$B$2*Assumptions!$B$16/100*C6/12,2)</f>
        <v>7014.69</v>
      </c>
      <c r="AA6" s="2" t="n">
        <f aca="false">Z6+O6</f>
        <v>13786.29</v>
      </c>
      <c r="AB6" s="2" t="n">
        <f aca="false">F6-L6-S6</f>
        <v>319235.15</v>
      </c>
    </row>
    <row r="7" customFormat="false" ht="15" hidden="false" customHeight="false" outlineLevel="0" collapsed="false">
      <c r="A7" s="0" t="n">
        <v>-10</v>
      </c>
      <c r="B7" s="0" t="n">
        <v>0</v>
      </c>
      <c r="C7" s="0" t="n">
        <v>12</v>
      </c>
      <c r="D7" s="2" t="n">
        <f aca="false">ROUND(S1!$B$30*(1+A7/100),2)</f>
        <v>1278719.87</v>
      </c>
      <c r="E7" s="2" t="n">
        <f aca="false">ROUND(S1!$B$33*(1+B7/100),2)</f>
        <v>601920</v>
      </c>
      <c r="F7" s="2" t="n">
        <f aca="false">S1!$B$2+S1!$B$31+S1!$B$32+E7+M7+N7+Y7+AA7+L7</f>
        <v>1327605.71</v>
      </c>
      <c r="G7" s="2" t="n">
        <f aca="false">D7-F7</f>
        <v>-48885.8399999996</v>
      </c>
      <c r="H7" s="3" t="n">
        <f aca="false">ROUND(G7/D7,4)</f>
        <v>-0.0382</v>
      </c>
      <c r="I7" s="3" t="n">
        <f aca="false">IF(AB7&lt;=0,"",ROUND(G7/AB7,4))</f>
        <v>-0.1429</v>
      </c>
      <c r="J7" s="2" t="n">
        <f aca="false">ROUND(D7*Assumptions!$B$18/100,2)</f>
        <v>63935.99</v>
      </c>
      <c r="K7" s="2" t="n">
        <f aca="false">ROUND(D7*Assumptions!$B$19/100,2)</f>
        <v>12787.2</v>
      </c>
      <c r="L7" s="2" t="n">
        <f aca="false">J7+K7</f>
        <v>76723.19</v>
      </c>
      <c r="M7" s="2" t="n">
        <f aca="false">ROUND(E7*Assumptions!$B$7/100,2)</f>
        <v>30096</v>
      </c>
      <c r="N7" s="2" t="n">
        <f aca="false">ROUND(E7*Assumptions!$B$8/100,2)</f>
        <v>72230.4</v>
      </c>
      <c r="O7" s="2" t="n">
        <f aca="false">ROUND(E7*Assumptions!$B$17/100*C7/12,2)</f>
        <v>9028.8</v>
      </c>
      <c r="P7" s="2" t="n">
        <f aca="false">C7*Assumptions!$B$9/100</f>
        <v>8.4</v>
      </c>
      <c r="Q7" s="2" t="n">
        <f aca="false">C7-P7</f>
        <v>3.6</v>
      </c>
      <c r="R7" s="2" t="n">
        <f aca="false">S1!$B$2+S1!$B$32+E7+M7+N7</f>
        <v>1135946.4</v>
      </c>
      <c r="S7" s="2" t="n">
        <f aca="false">ROUND(R7*Assumptions!$B$10/100,2)</f>
        <v>908757.12</v>
      </c>
      <c r="T7" s="2" t="n">
        <f aca="false">ROUND((S1!$B$2+S1!$B$32+N7)*Assumptions!$B$10/100*Assumptions!$B$11/100/12*C7,2)</f>
        <v>40314.43</v>
      </c>
      <c r="U7" s="2" t="n">
        <f aca="false">ROUND((E7+M7)*Assumptions!$B$10/100*Assumptions!$B$11/100/12*(P7/2+Q7),2)</f>
        <v>32864.83</v>
      </c>
      <c r="V7" s="2" t="n">
        <f aca="false">T7+U7</f>
        <v>73179.26</v>
      </c>
      <c r="W7" s="2" t="n">
        <f aca="false">ROUND(S7*Assumptions!$B$12/100,2)</f>
        <v>18175.14</v>
      </c>
      <c r="X7" s="2" t="n">
        <f aca="false">Assumptions!$B$13*Assumptions!$B$14</f>
        <v>1000</v>
      </c>
      <c r="Y7" s="2" t="n">
        <f aca="false">V7+W7+X7</f>
        <v>92354.4</v>
      </c>
      <c r="Z7" s="2" t="n">
        <f aca="false">ROUND(S1!$B$2*Assumptions!$B$16/100*C7/12,2)</f>
        <v>9352.92</v>
      </c>
      <c r="AA7" s="2" t="n">
        <f aca="false">Z7+O7</f>
        <v>18381.72</v>
      </c>
      <c r="AB7" s="2" t="n">
        <f aca="false">F7-L7-S7</f>
        <v>342125.4</v>
      </c>
    </row>
    <row r="8" customFormat="false" ht="15" hidden="false" customHeight="false" outlineLevel="0" collapsed="false">
      <c r="A8" s="0" t="n">
        <v>-10</v>
      </c>
      <c r="B8" s="0" t="n">
        <v>10</v>
      </c>
      <c r="C8" s="0" t="n">
        <v>6</v>
      </c>
      <c r="D8" s="2" t="n">
        <f aca="false">ROUND(S1!$B$30*(1+A8/100),2)</f>
        <v>1278719.87</v>
      </c>
      <c r="E8" s="2" t="n">
        <f aca="false">ROUND(S1!$B$33*(1+B8/100),2)</f>
        <v>662112</v>
      </c>
      <c r="F8" s="2" t="n">
        <f aca="false">S1!$B$2+S1!$B$31+S1!$B$32+E8+M8+N8+Y8+AA8+L8</f>
        <v>1355760.27</v>
      </c>
      <c r="G8" s="2" t="n">
        <f aca="false">D8-F8</f>
        <v>-77040.3999999999</v>
      </c>
      <c r="H8" s="3" t="n">
        <f aca="false">ROUND(G8/D8,4)</f>
        <v>-0.0602</v>
      </c>
      <c r="I8" s="3" t="n">
        <f aca="false">IF(AB8&lt;=0,"",ROUND(G8/AB8,4))</f>
        <v>-0.2454</v>
      </c>
      <c r="J8" s="2" t="n">
        <f aca="false">ROUND(D8*Assumptions!$B$18/100,2)</f>
        <v>63935.99</v>
      </c>
      <c r="K8" s="2" t="n">
        <f aca="false">ROUND(D8*Assumptions!$B$19/100,2)</f>
        <v>12787.2</v>
      </c>
      <c r="L8" s="2" t="n">
        <f aca="false">J8+K8</f>
        <v>76723.19</v>
      </c>
      <c r="M8" s="2" t="n">
        <f aca="false">ROUND(E8*Assumptions!$B$7/100,2)</f>
        <v>33105.6</v>
      </c>
      <c r="N8" s="2" t="n">
        <f aca="false">ROUND(E8*Assumptions!$B$8/100,2)</f>
        <v>79453.44</v>
      </c>
      <c r="O8" s="2" t="n">
        <f aca="false">ROUND(E8*Assumptions!$B$17/100*C8/12,2)</f>
        <v>4965.84</v>
      </c>
      <c r="P8" s="2" t="n">
        <f aca="false">C8*Assumptions!$B$9/100</f>
        <v>4.2</v>
      </c>
      <c r="Q8" s="2" t="n">
        <f aca="false">C8-P8</f>
        <v>1.8</v>
      </c>
      <c r="R8" s="2" t="n">
        <f aca="false">S1!$B$2+S1!$B$32+E8+M8+N8</f>
        <v>1206371.04</v>
      </c>
      <c r="S8" s="2" t="n">
        <f aca="false">ROUND(R8*Assumptions!$B$10/100,2)</f>
        <v>965096.83</v>
      </c>
      <c r="T8" s="2" t="n">
        <f aca="false">ROUND((S1!$B$2+S1!$B$32+N8)*Assumptions!$B$10/100*Assumptions!$B$11/100/12*C8,2)</f>
        <v>20446.14</v>
      </c>
      <c r="U8" s="2" t="n">
        <f aca="false">ROUND((E8+M8)*Assumptions!$B$10/100*Assumptions!$B$11/100/12*(P8/2+Q8),2)</f>
        <v>18075.66</v>
      </c>
      <c r="V8" s="2" t="n">
        <f aca="false">T8+U8</f>
        <v>38521.8</v>
      </c>
      <c r="W8" s="2" t="n">
        <f aca="false">ROUND(S8*Assumptions!$B$12/100,2)</f>
        <v>19301.94</v>
      </c>
      <c r="X8" s="2" t="n">
        <f aca="false">Assumptions!$B$13*Assumptions!$B$14</f>
        <v>1000</v>
      </c>
      <c r="Y8" s="2" t="n">
        <f aca="false">V8+W8+X8</f>
        <v>58823.74</v>
      </c>
      <c r="Z8" s="2" t="n">
        <f aca="false">ROUND(S1!$B$2*Assumptions!$B$16/100*C8/12,2)</f>
        <v>4676.46</v>
      </c>
      <c r="AA8" s="2" t="n">
        <f aca="false">Z8+O8</f>
        <v>9642.3</v>
      </c>
      <c r="AB8" s="2" t="n">
        <f aca="false">F8-L8-S8</f>
        <v>313940.25</v>
      </c>
    </row>
    <row r="9" customFormat="false" ht="15" hidden="false" customHeight="false" outlineLevel="0" collapsed="false">
      <c r="A9" s="0" t="n">
        <v>-10</v>
      </c>
      <c r="B9" s="0" t="n">
        <v>10</v>
      </c>
      <c r="C9" s="0" t="n">
        <v>9</v>
      </c>
      <c r="D9" s="2" t="n">
        <f aca="false">ROUND(S1!$B$30*(1+A9/100),2)</f>
        <v>1278719.87</v>
      </c>
      <c r="E9" s="2" t="n">
        <f aca="false">ROUND(S1!$B$33*(1+B9/100),2)</f>
        <v>662112</v>
      </c>
      <c r="F9" s="2" t="n">
        <f aca="false">S1!$B$2+S1!$B$31+S1!$B$32+E9+M9+N9+Y9+AA9+L9</f>
        <v>1379842.32</v>
      </c>
      <c r="G9" s="2" t="n">
        <f aca="false">D9-F9</f>
        <v>-101122.45</v>
      </c>
      <c r="H9" s="3" t="n">
        <f aca="false">ROUND(G9/D9,4)</f>
        <v>-0.0791</v>
      </c>
      <c r="I9" s="3" t="n">
        <f aca="false">IF(AB9&lt;=0,"",ROUND(G9/AB9,4))</f>
        <v>-0.2992</v>
      </c>
      <c r="J9" s="2" t="n">
        <f aca="false">ROUND(D9*Assumptions!$B$18/100,2)</f>
        <v>63935.99</v>
      </c>
      <c r="K9" s="2" t="n">
        <f aca="false">ROUND(D9*Assumptions!$B$19/100,2)</f>
        <v>12787.2</v>
      </c>
      <c r="L9" s="2" t="n">
        <f aca="false">J9+K9</f>
        <v>76723.19</v>
      </c>
      <c r="M9" s="2" t="n">
        <f aca="false">ROUND(E9*Assumptions!$B$7/100,2)</f>
        <v>33105.6</v>
      </c>
      <c r="N9" s="2" t="n">
        <f aca="false">ROUND(E9*Assumptions!$B$8/100,2)</f>
        <v>79453.44</v>
      </c>
      <c r="O9" s="2" t="n">
        <f aca="false">ROUND(E9*Assumptions!$B$17/100*C9/12,2)</f>
        <v>7448.76</v>
      </c>
      <c r="P9" s="2" t="n">
        <f aca="false">C9*Assumptions!$B$9/100</f>
        <v>6.3</v>
      </c>
      <c r="Q9" s="2" t="n">
        <f aca="false">C9-P9</f>
        <v>2.7</v>
      </c>
      <c r="R9" s="2" t="n">
        <f aca="false">S1!$B$2+S1!$B$32+E9+M9+N9</f>
        <v>1206371.04</v>
      </c>
      <c r="S9" s="2" t="n">
        <f aca="false">ROUND(R9*Assumptions!$B$10/100,2)</f>
        <v>965096.83</v>
      </c>
      <c r="T9" s="2" t="n">
        <f aca="false">ROUND((S1!$B$2+S1!$B$32+N9)*Assumptions!$B$10/100*Assumptions!$B$11/100/12*C9,2)</f>
        <v>30669.21</v>
      </c>
      <c r="U9" s="2" t="n">
        <f aca="false">ROUND((E9+M9)*Assumptions!$B$10/100*Assumptions!$B$11/100/12*(P9/2+Q9),2)</f>
        <v>27113.49</v>
      </c>
      <c r="V9" s="2" t="n">
        <f aca="false">T9+U9</f>
        <v>57782.7</v>
      </c>
      <c r="W9" s="2" t="n">
        <f aca="false">ROUND(S9*Assumptions!$B$12/100,2)</f>
        <v>19301.94</v>
      </c>
      <c r="X9" s="2" t="n">
        <f aca="false">Assumptions!$B$13*Assumptions!$B$14</f>
        <v>1000</v>
      </c>
      <c r="Y9" s="2" t="n">
        <f aca="false">V9+W9+X9</f>
        <v>78084.64</v>
      </c>
      <c r="Z9" s="2" t="n">
        <f aca="false">ROUND(S1!$B$2*Assumptions!$B$16/100*C9/12,2)</f>
        <v>7014.69</v>
      </c>
      <c r="AA9" s="2" t="n">
        <f aca="false">Z9+O9</f>
        <v>14463.45</v>
      </c>
      <c r="AB9" s="2" t="n">
        <f aca="false">F9-L9-S9</f>
        <v>338022.3</v>
      </c>
    </row>
    <row r="10" customFormat="false" ht="15" hidden="false" customHeight="false" outlineLevel="0" collapsed="false">
      <c r="A10" s="0" t="n">
        <v>-10</v>
      </c>
      <c r="B10" s="0" t="n">
        <v>10</v>
      </c>
      <c r="C10" s="0" t="n">
        <v>12</v>
      </c>
      <c r="D10" s="2" t="n">
        <f aca="false">ROUND(S1!$B$30*(1+A10/100),2)</f>
        <v>1278719.87</v>
      </c>
      <c r="E10" s="2" t="n">
        <f aca="false">ROUND(S1!$B$33*(1+B10/100),2)</f>
        <v>662112</v>
      </c>
      <c r="F10" s="2" t="n">
        <f aca="false">S1!$B$2+S1!$B$31+S1!$B$32+E10+M10+N10+Y10+AA10+L10</f>
        <v>1403924.37</v>
      </c>
      <c r="G10" s="2" t="n">
        <f aca="false">D10-F10</f>
        <v>-125204.5</v>
      </c>
      <c r="H10" s="3" t="n">
        <f aca="false">ROUND(G10/D10,4)</f>
        <v>-0.0979</v>
      </c>
      <c r="I10" s="3" t="n">
        <f aca="false">IF(AB10&lt;=0,"",ROUND(G10/AB10,4))</f>
        <v>-0.3458</v>
      </c>
      <c r="J10" s="2" t="n">
        <f aca="false">ROUND(D10*Assumptions!$B$18/100,2)</f>
        <v>63935.99</v>
      </c>
      <c r="K10" s="2" t="n">
        <f aca="false">ROUND(D10*Assumptions!$B$19/100,2)</f>
        <v>12787.2</v>
      </c>
      <c r="L10" s="2" t="n">
        <f aca="false">J10+K10</f>
        <v>76723.19</v>
      </c>
      <c r="M10" s="2" t="n">
        <f aca="false">ROUND(E10*Assumptions!$B$7/100,2)</f>
        <v>33105.6</v>
      </c>
      <c r="N10" s="2" t="n">
        <f aca="false">ROUND(E10*Assumptions!$B$8/100,2)</f>
        <v>79453.44</v>
      </c>
      <c r="O10" s="2" t="n">
        <f aca="false">ROUND(E10*Assumptions!$B$17/100*C10/12,2)</f>
        <v>9931.68</v>
      </c>
      <c r="P10" s="2" t="n">
        <f aca="false">C10*Assumptions!$B$9/100</f>
        <v>8.4</v>
      </c>
      <c r="Q10" s="2" t="n">
        <f aca="false">C10-P10</f>
        <v>3.6</v>
      </c>
      <c r="R10" s="2" t="n">
        <f aca="false">S1!$B$2+S1!$B$32+E10+M10+N10</f>
        <v>1206371.04</v>
      </c>
      <c r="S10" s="2" t="n">
        <f aca="false">ROUND(R10*Assumptions!$B$10/100,2)</f>
        <v>965096.83</v>
      </c>
      <c r="T10" s="2" t="n">
        <f aca="false">ROUND((S1!$B$2+S1!$B$32+N10)*Assumptions!$B$10/100*Assumptions!$B$11/100/12*C10,2)</f>
        <v>40892.28</v>
      </c>
      <c r="U10" s="2" t="n">
        <f aca="false">ROUND((E10+M10)*Assumptions!$B$10/100*Assumptions!$B$11/100/12*(P10/2+Q10),2)</f>
        <v>36151.32</v>
      </c>
      <c r="V10" s="2" t="n">
        <f aca="false">T10+U10</f>
        <v>77043.6</v>
      </c>
      <c r="W10" s="2" t="n">
        <f aca="false">ROUND(S10*Assumptions!$B$12/100,2)</f>
        <v>19301.94</v>
      </c>
      <c r="X10" s="2" t="n">
        <f aca="false">Assumptions!$B$13*Assumptions!$B$14</f>
        <v>1000</v>
      </c>
      <c r="Y10" s="2" t="n">
        <f aca="false">V10+W10+X10</f>
        <v>97345.54</v>
      </c>
      <c r="Z10" s="2" t="n">
        <f aca="false">ROUND(S1!$B$2*Assumptions!$B$16/100*C10/12,2)</f>
        <v>9352.92</v>
      </c>
      <c r="AA10" s="2" t="n">
        <f aca="false">Z10+O10</f>
        <v>19284.6</v>
      </c>
      <c r="AB10" s="2" t="n">
        <f aca="false">F10-L10-S10</f>
        <v>362104.35</v>
      </c>
    </row>
    <row r="11" customFormat="false" ht="15" hidden="false" customHeight="false" outlineLevel="0" collapsed="false">
      <c r="A11" s="0" t="n">
        <v>-10</v>
      </c>
      <c r="B11" s="0" t="n">
        <v>20</v>
      </c>
      <c r="C11" s="0" t="n">
        <v>6</v>
      </c>
      <c r="D11" s="2" t="n">
        <f aca="false">ROUND(S1!$B$30*(1+A11/100),2)</f>
        <v>1278719.87</v>
      </c>
      <c r="E11" s="2" t="n">
        <f aca="false">ROUND(S1!$B$33*(1+B11/100),2)</f>
        <v>722304</v>
      </c>
      <c r="F11" s="2" t="n">
        <f aca="false">S1!$B$2+S1!$B$31+S1!$B$32+E11+M11+N11+Y11+AA11+L11</f>
        <v>1429695.3</v>
      </c>
      <c r="G11" s="2" t="n">
        <f aca="false">D11-F11</f>
        <v>-150975.43</v>
      </c>
      <c r="H11" s="3" t="n">
        <f aca="false">ROUND(G11/D11,4)</f>
        <v>-0.1181</v>
      </c>
      <c r="I11" s="3" t="n">
        <f aca="false">IF(AB11&lt;=0,"",ROUND(G11/AB11,4))</f>
        <v>-0.4554</v>
      </c>
      <c r="J11" s="2" t="n">
        <f aca="false">ROUND(D11*Assumptions!$B$18/100,2)</f>
        <v>63935.99</v>
      </c>
      <c r="K11" s="2" t="n">
        <f aca="false">ROUND(D11*Assumptions!$B$19/100,2)</f>
        <v>12787.2</v>
      </c>
      <c r="L11" s="2" t="n">
        <f aca="false">J11+K11</f>
        <v>76723.19</v>
      </c>
      <c r="M11" s="2" t="n">
        <f aca="false">ROUND(E11*Assumptions!$B$7/100,2)</f>
        <v>36115.2</v>
      </c>
      <c r="N11" s="2" t="n">
        <f aca="false">ROUND(E11*Assumptions!$B$8/100,2)</f>
        <v>86676.48</v>
      </c>
      <c r="O11" s="2" t="n">
        <f aca="false">ROUND(E11*Assumptions!$B$17/100*C11/12,2)</f>
        <v>5417.28</v>
      </c>
      <c r="P11" s="2" t="n">
        <f aca="false">C11*Assumptions!$B$9/100</f>
        <v>4.2</v>
      </c>
      <c r="Q11" s="2" t="n">
        <f aca="false">C11-P11</f>
        <v>1.8</v>
      </c>
      <c r="R11" s="2" t="n">
        <f aca="false">S1!$B$2+S1!$B$32+E11+M11+N11</f>
        <v>1276795.68</v>
      </c>
      <c r="S11" s="2" t="n">
        <f aca="false">ROUND(R11*Assumptions!$B$10/100,2)</f>
        <v>1021436.54</v>
      </c>
      <c r="T11" s="2" t="n">
        <f aca="false">ROUND((S1!$B$2+S1!$B$32+N11)*Assumptions!$B$10/100*Assumptions!$B$11/100/12*C11,2)</f>
        <v>20735.06</v>
      </c>
      <c r="U11" s="2" t="n">
        <f aca="false">ROUND((E11+M11)*Assumptions!$B$10/100*Assumptions!$B$11/100/12*(P11/2+Q11),2)</f>
        <v>19718.9</v>
      </c>
      <c r="V11" s="2" t="n">
        <f aca="false">T11+U11</f>
        <v>40453.96</v>
      </c>
      <c r="W11" s="2" t="n">
        <f aca="false">ROUND(S11*Assumptions!$B$12/100,2)</f>
        <v>20428.73</v>
      </c>
      <c r="X11" s="2" t="n">
        <f aca="false">Assumptions!$B$13*Assumptions!$B$14</f>
        <v>1000</v>
      </c>
      <c r="Y11" s="2" t="n">
        <f aca="false">V11+W11+X11</f>
        <v>61882.69</v>
      </c>
      <c r="Z11" s="2" t="n">
        <f aca="false">ROUND(S1!$B$2*Assumptions!$B$16/100*C11/12,2)</f>
        <v>4676.46</v>
      </c>
      <c r="AA11" s="2" t="n">
        <f aca="false">Z11+O11</f>
        <v>10093.74</v>
      </c>
      <c r="AB11" s="2" t="n">
        <f aca="false">F11-L11-S11</f>
        <v>331535.57</v>
      </c>
    </row>
    <row r="12" customFormat="false" ht="15" hidden="false" customHeight="false" outlineLevel="0" collapsed="false">
      <c r="A12" s="0" t="n">
        <v>-10</v>
      </c>
      <c r="B12" s="0" t="n">
        <v>20</v>
      </c>
      <c r="C12" s="0" t="n">
        <v>9</v>
      </c>
      <c r="D12" s="2" t="n">
        <f aca="false">ROUND(S1!$B$30*(1+A12/100),2)</f>
        <v>1278719.87</v>
      </c>
      <c r="E12" s="2" t="n">
        <f aca="false">ROUND(S1!$B$33*(1+B12/100),2)</f>
        <v>722304</v>
      </c>
      <c r="F12" s="2" t="n">
        <f aca="false">S1!$B$2+S1!$B$31+S1!$B$32+E12+M12+N12+Y12+AA12+L12</f>
        <v>1454969.15</v>
      </c>
      <c r="G12" s="2" t="n">
        <f aca="false">D12-F12</f>
        <v>-176249.28</v>
      </c>
      <c r="H12" s="3" t="n">
        <f aca="false">ROUND(G12/D12,4)</f>
        <v>-0.1378</v>
      </c>
      <c r="I12" s="3" t="n">
        <f aca="false">IF(AB12&lt;=0,"",ROUND(G12/AB12,4))</f>
        <v>-0.494</v>
      </c>
      <c r="J12" s="2" t="n">
        <f aca="false">ROUND(D12*Assumptions!$B$18/100,2)</f>
        <v>63935.99</v>
      </c>
      <c r="K12" s="2" t="n">
        <f aca="false">ROUND(D12*Assumptions!$B$19/100,2)</f>
        <v>12787.2</v>
      </c>
      <c r="L12" s="2" t="n">
        <f aca="false">J12+K12</f>
        <v>76723.19</v>
      </c>
      <c r="M12" s="2" t="n">
        <f aca="false">ROUND(E12*Assumptions!$B$7/100,2)</f>
        <v>36115.2</v>
      </c>
      <c r="N12" s="2" t="n">
        <f aca="false">ROUND(E12*Assumptions!$B$8/100,2)</f>
        <v>86676.48</v>
      </c>
      <c r="O12" s="2" t="n">
        <f aca="false">ROUND(E12*Assumptions!$B$17/100*C12/12,2)</f>
        <v>8125.92</v>
      </c>
      <c r="P12" s="2" t="n">
        <f aca="false">C12*Assumptions!$B$9/100</f>
        <v>6.3</v>
      </c>
      <c r="Q12" s="2" t="n">
        <f aca="false">C12-P12</f>
        <v>2.7</v>
      </c>
      <c r="R12" s="2" t="n">
        <f aca="false">S1!$B$2+S1!$B$32+E12+M12+N12</f>
        <v>1276795.68</v>
      </c>
      <c r="S12" s="2" t="n">
        <f aca="false">ROUND(R12*Assumptions!$B$10/100,2)</f>
        <v>1021436.54</v>
      </c>
      <c r="T12" s="2" t="n">
        <f aca="false">ROUND((S1!$B$2+S1!$B$32+N12)*Assumptions!$B$10/100*Assumptions!$B$11/100/12*C12,2)</f>
        <v>31102.59</v>
      </c>
      <c r="U12" s="2" t="n">
        <f aca="false">ROUND((E12+M12)*Assumptions!$B$10/100*Assumptions!$B$11/100/12*(P12/2+Q12),2)</f>
        <v>29578.35</v>
      </c>
      <c r="V12" s="2" t="n">
        <f aca="false">T12+U12</f>
        <v>60680.94</v>
      </c>
      <c r="W12" s="2" t="n">
        <f aca="false">ROUND(S12*Assumptions!$B$12/100,2)</f>
        <v>20428.73</v>
      </c>
      <c r="X12" s="2" t="n">
        <f aca="false">Assumptions!$B$13*Assumptions!$B$14</f>
        <v>1000</v>
      </c>
      <c r="Y12" s="2" t="n">
        <f aca="false">V12+W12+X12</f>
        <v>82109.67</v>
      </c>
      <c r="Z12" s="2" t="n">
        <f aca="false">ROUND(S1!$B$2*Assumptions!$B$16/100*C12/12,2)</f>
        <v>7014.69</v>
      </c>
      <c r="AA12" s="2" t="n">
        <f aca="false">Z12+O12</f>
        <v>15140.61</v>
      </c>
      <c r="AB12" s="2" t="n">
        <f aca="false">F12-L12-S12</f>
        <v>356809.42</v>
      </c>
    </row>
    <row r="13" customFormat="false" ht="15" hidden="false" customHeight="false" outlineLevel="0" collapsed="false">
      <c r="A13" s="0" t="n">
        <v>-10</v>
      </c>
      <c r="B13" s="0" t="n">
        <v>20</v>
      </c>
      <c r="C13" s="0" t="n">
        <v>12</v>
      </c>
      <c r="D13" s="2" t="n">
        <f aca="false">ROUND(S1!$B$30*(1+A13/100),2)</f>
        <v>1278719.87</v>
      </c>
      <c r="E13" s="2" t="n">
        <f aca="false">ROUND(S1!$B$33*(1+B13/100),2)</f>
        <v>722304</v>
      </c>
      <c r="F13" s="2" t="n">
        <f aca="false">S1!$B$2+S1!$B$31+S1!$B$32+E13+M13+N13+Y13+AA13+L13</f>
        <v>1480243</v>
      </c>
      <c r="G13" s="2" t="n">
        <f aca="false">D13-F13</f>
        <v>-201523.13</v>
      </c>
      <c r="H13" s="3" t="n">
        <f aca="false">ROUND(G13/D13,4)</f>
        <v>-0.1576</v>
      </c>
      <c r="I13" s="3" t="n">
        <f aca="false">IF(AB13&lt;=0,"",ROUND(G13/AB13,4))</f>
        <v>-0.5274</v>
      </c>
      <c r="J13" s="2" t="n">
        <f aca="false">ROUND(D13*Assumptions!$B$18/100,2)</f>
        <v>63935.99</v>
      </c>
      <c r="K13" s="2" t="n">
        <f aca="false">ROUND(D13*Assumptions!$B$19/100,2)</f>
        <v>12787.2</v>
      </c>
      <c r="L13" s="2" t="n">
        <f aca="false">J13+K13</f>
        <v>76723.19</v>
      </c>
      <c r="M13" s="2" t="n">
        <f aca="false">ROUND(E13*Assumptions!$B$7/100,2)</f>
        <v>36115.2</v>
      </c>
      <c r="N13" s="2" t="n">
        <f aca="false">ROUND(E13*Assumptions!$B$8/100,2)</f>
        <v>86676.48</v>
      </c>
      <c r="O13" s="2" t="n">
        <f aca="false">ROUND(E13*Assumptions!$B$17/100*C13/12,2)</f>
        <v>10834.56</v>
      </c>
      <c r="P13" s="2" t="n">
        <f aca="false">C13*Assumptions!$B$9/100</f>
        <v>8.4</v>
      </c>
      <c r="Q13" s="2" t="n">
        <f aca="false">C13-P13</f>
        <v>3.6</v>
      </c>
      <c r="R13" s="2" t="n">
        <f aca="false">S1!$B$2+S1!$B$32+E13+M13+N13</f>
        <v>1276795.68</v>
      </c>
      <c r="S13" s="2" t="n">
        <f aca="false">ROUND(R13*Assumptions!$B$10/100,2)</f>
        <v>1021436.54</v>
      </c>
      <c r="T13" s="2" t="n">
        <f aca="false">ROUND((S1!$B$2+S1!$B$32+N13)*Assumptions!$B$10/100*Assumptions!$B$11/100/12*C13,2)</f>
        <v>41470.12</v>
      </c>
      <c r="U13" s="2" t="n">
        <f aca="false">ROUND((E13+M13)*Assumptions!$B$10/100*Assumptions!$B$11/100/12*(P13/2+Q13),2)</f>
        <v>39437.8</v>
      </c>
      <c r="V13" s="2" t="n">
        <f aca="false">T13+U13</f>
        <v>80907.92</v>
      </c>
      <c r="W13" s="2" t="n">
        <f aca="false">ROUND(S13*Assumptions!$B$12/100,2)</f>
        <v>20428.73</v>
      </c>
      <c r="X13" s="2" t="n">
        <f aca="false">Assumptions!$B$13*Assumptions!$B$14</f>
        <v>1000</v>
      </c>
      <c r="Y13" s="2" t="n">
        <f aca="false">V13+W13+X13</f>
        <v>102336.65</v>
      </c>
      <c r="Z13" s="2" t="n">
        <f aca="false">ROUND(S1!$B$2*Assumptions!$B$16/100*C13/12,2)</f>
        <v>9352.92</v>
      </c>
      <c r="AA13" s="2" t="n">
        <f aca="false">Z13+O13</f>
        <v>20187.48</v>
      </c>
      <c r="AB13" s="2" t="n">
        <f aca="false">F13-L13-S13</f>
        <v>382083.27</v>
      </c>
    </row>
    <row r="14" customFormat="false" ht="15" hidden="false" customHeight="false" outlineLevel="0" collapsed="false">
      <c r="A14" s="0" t="n">
        <v>-5</v>
      </c>
      <c r="B14" s="0" t="n">
        <v>-10</v>
      </c>
      <c r="C14" s="0" t="n">
        <v>6</v>
      </c>
      <c r="D14" s="2" t="n">
        <f aca="false">ROUND(S1!$B$30*(1+A14/100),2)</f>
        <v>1349759.86</v>
      </c>
      <c r="E14" s="2" t="n">
        <f aca="false">ROUND(S1!$B$33*(1+B14/100),2)</f>
        <v>541728</v>
      </c>
      <c r="F14" s="2" t="n">
        <f aca="false">S1!$B$2+S1!$B$31+S1!$B$32+E14+M14+N14+Y14+AA14+L14</f>
        <v>1212152.58</v>
      </c>
      <c r="G14" s="2" t="n">
        <f aca="false">D14-F14</f>
        <v>137607.28</v>
      </c>
      <c r="H14" s="3" t="n">
        <f aca="false">ROUND(G14/D14,4)</f>
        <v>0.1019</v>
      </c>
      <c r="I14" s="3" t="n">
        <f aca="false">IF(AB14&lt;=0,"",ROUND(G14/AB14,4))</f>
        <v>0.4937</v>
      </c>
      <c r="J14" s="2" t="n">
        <f aca="false">ROUND(D14*Assumptions!$B$18/100,2)</f>
        <v>67487.99</v>
      </c>
      <c r="K14" s="2" t="n">
        <f aca="false">ROUND(D14*Assumptions!$B$19/100,2)</f>
        <v>13497.6</v>
      </c>
      <c r="L14" s="2" t="n">
        <f aca="false">J14+K14</f>
        <v>80985.59</v>
      </c>
      <c r="M14" s="2" t="n">
        <f aca="false">ROUND(E14*Assumptions!$B$7/100,2)</f>
        <v>27086.4</v>
      </c>
      <c r="N14" s="2" t="n">
        <f aca="false">ROUND(E14*Assumptions!$B$8/100,2)</f>
        <v>65007.36</v>
      </c>
      <c r="O14" s="2" t="n">
        <f aca="false">ROUND(E14*Assumptions!$B$17/100*C14/12,2)</f>
        <v>4062.96</v>
      </c>
      <c r="P14" s="2" t="n">
        <f aca="false">C14*Assumptions!$B$9/100</f>
        <v>4.2</v>
      </c>
      <c r="Q14" s="2" t="n">
        <f aca="false">C14-P14</f>
        <v>1.8</v>
      </c>
      <c r="R14" s="2" t="n">
        <f aca="false">S1!$B$2+S1!$B$32+E14+M14+N14</f>
        <v>1065521.76</v>
      </c>
      <c r="S14" s="2" t="n">
        <f aca="false">ROUND(R14*Assumptions!$B$10/100,2)</f>
        <v>852417.41</v>
      </c>
      <c r="T14" s="2" t="n">
        <f aca="false">ROUND((S1!$B$2+S1!$B$32+N14)*Assumptions!$B$10/100*Assumptions!$B$11/100/12*C14,2)</f>
        <v>19868.29</v>
      </c>
      <c r="U14" s="2" t="n">
        <f aca="false">ROUND((E14+M14)*Assumptions!$B$10/100*Assumptions!$B$11/100/12*(P14/2+Q14),2)</f>
        <v>14789.17</v>
      </c>
      <c r="V14" s="2" t="n">
        <f aca="false">T14+U14</f>
        <v>34657.46</v>
      </c>
      <c r="W14" s="2" t="n">
        <f aca="false">ROUND(S14*Assumptions!$B$12/100,2)</f>
        <v>17048.35</v>
      </c>
      <c r="X14" s="2" t="n">
        <f aca="false">Assumptions!$B$13*Assumptions!$B$14</f>
        <v>1000</v>
      </c>
      <c r="Y14" s="2" t="n">
        <f aca="false">V14+W14+X14</f>
        <v>52705.81</v>
      </c>
      <c r="Z14" s="2" t="n">
        <f aca="false">ROUND(S1!$B$2*Assumptions!$B$16/100*C14/12,2)</f>
        <v>4676.46</v>
      </c>
      <c r="AA14" s="2" t="n">
        <f aca="false">Z14+O14</f>
        <v>8739.42</v>
      </c>
      <c r="AB14" s="2" t="n">
        <f aca="false">F14-L14-S14</f>
        <v>278749.58</v>
      </c>
    </row>
    <row r="15" customFormat="false" ht="15" hidden="false" customHeight="false" outlineLevel="0" collapsed="false">
      <c r="A15" s="0" t="n">
        <v>-5</v>
      </c>
      <c r="B15" s="0" t="n">
        <v>-10</v>
      </c>
      <c r="C15" s="0" t="n">
        <v>9</v>
      </c>
      <c r="D15" s="2" t="n">
        <f aca="false">ROUND(S1!$B$30*(1+A15/100),2)</f>
        <v>1349759.86</v>
      </c>
      <c r="E15" s="2" t="n">
        <f aca="false">ROUND(S1!$B$33*(1+B15/100),2)</f>
        <v>541728</v>
      </c>
      <c r="F15" s="2" t="n">
        <f aca="false">S1!$B$2+S1!$B$31+S1!$B$32+E15+M15+N15+Y15+AA15+L15</f>
        <v>1233851.03</v>
      </c>
      <c r="G15" s="2" t="n">
        <f aca="false">D15-F15</f>
        <v>115908.83</v>
      </c>
      <c r="H15" s="3" t="n">
        <f aca="false">ROUND(G15/D15,4)</f>
        <v>0.0859</v>
      </c>
      <c r="I15" s="3" t="n">
        <f aca="false">IF(AB15&lt;=0,"",ROUND(G15/AB15,4))</f>
        <v>0.3858</v>
      </c>
      <c r="J15" s="2" t="n">
        <f aca="false">ROUND(D15*Assumptions!$B$18/100,2)</f>
        <v>67487.99</v>
      </c>
      <c r="K15" s="2" t="n">
        <f aca="false">ROUND(D15*Assumptions!$B$19/100,2)</f>
        <v>13497.6</v>
      </c>
      <c r="L15" s="2" t="n">
        <f aca="false">J15+K15</f>
        <v>80985.59</v>
      </c>
      <c r="M15" s="2" t="n">
        <f aca="false">ROUND(E15*Assumptions!$B$7/100,2)</f>
        <v>27086.4</v>
      </c>
      <c r="N15" s="2" t="n">
        <f aca="false">ROUND(E15*Assumptions!$B$8/100,2)</f>
        <v>65007.36</v>
      </c>
      <c r="O15" s="2" t="n">
        <f aca="false">ROUND(E15*Assumptions!$B$17/100*C15/12,2)</f>
        <v>6094.44</v>
      </c>
      <c r="P15" s="2" t="n">
        <f aca="false">C15*Assumptions!$B$9/100</f>
        <v>6.3</v>
      </c>
      <c r="Q15" s="2" t="n">
        <f aca="false">C15-P15</f>
        <v>2.7</v>
      </c>
      <c r="R15" s="2" t="n">
        <f aca="false">S1!$B$2+S1!$B$32+E15+M15+N15</f>
        <v>1065521.76</v>
      </c>
      <c r="S15" s="2" t="n">
        <f aca="false">ROUND(R15*Assumptions!$B$10/100,2)</f>
        <v>852417.41</v>
      </c>
      <c r="T15" s="2" t="n">
        <f aca="false">ROUND((S1!$B$2+S1!$B$32+N15)*Assumptions!$B$10/100*Assumptions!$B$11/100/12*C15,2)</f>
        <v>29802.44</v>
      </c>
      <c r="U15" s="2" t="n">
        <f aca="false">ROUND((E15+M15)*Assumptions!$B$10/100*Assumptions!$B$11/100/12*(P15/2+Q15),2)</f>
        <v>22183.76</v>
      </c>
      <c r="V15" s="2" t="n">
        <f aca="false">T15+U15</f>
        <v>51986.2</v>
      </c>
      <c r="W15" s="2" t="n">
        <f aca="false">ROUND(S15*Assumptions!$B$12/100,2)</f>
        <v>17048.35</v>
      </c>
      <c r="X15" s="2" t="n">
        <f aca="false">Assumptions!$B$13*Assumptions!$B$14</f>
        <v>1000</v>
      </c>
      <c r="Y15" s="2" t="n">
        <f aca="false">V15+W15+X15</f>
        <v>70034.55</v>
      </c>
      <c r="Z15" s="2" t="n">
        <f aca="false">ROUND(S1!$B$2*Assumptions!$B$16/100*C15/12,2)</f>
        <v>7014.69</v>
      </c>
      <c r="AA15" s="2" t="n">
        <f aca="false">Z15+O15</f>
        <v>13109.13</v>
      </c>
      <c r="AB15" s="2" t="n">
        <f aca="false">F15-L15-S15</f>
        <v>300448.03</v>
      </c>
    </row>
    <row r="16" customFormat="false" ht="15" hidden="false" customHeight="false" outlineLevel="0" collapsed="false">
      <c r="A16" s="0" t="n">
        <v>-5</v>
      </c>
      <c r="B16" s="0" t="n">
        <v>-10</v>
      </c>
      <c r="C16" s="0" t="n">
        <v>12</v>
      </c>
      <c r="D16" s="2" t="n">
        <f aca="false">ROUND(S1!$B$30*(1+A16/100),2)</f>
        <v>1349759.86</v>
      </c>
      <c r="E16" s="2" t="n">
        <f aca="false">ROUND(S1!$B$33*(1+B16/100),2)</f>
        <v>541728</v>
      </c>
      <c r="F16" s="2" t="n">
        <f aca="false">S1!$B$2+S1!$B$31+S1!$B$32+E16+M16+N16+Y16+AA16+L16</f>
        <v>1255549.48</v>
      </c>
      <c r="G16" s="2" t="n">
        <f aca="false">D16-F16</f>
        <v>94210.3799999999</v>
      </c>
      <c r="H16" s="3" t="n">
        <f aca="false">ROUND(G16/D16,4)</f>
        <v>0.0698</v>
      </c>
      <c r="I16" s="3" t="n">
        <f aca="false">IF(AB16&lt;=0,"",ROUND(G16/AB16,4))</f>
        <v>0.2924</v>
      </c>
      <c r="J16" s="2" t="n">
        <f aca="false">ROUND(D16*Assumptions!$B$18/100,2)</f>
        <v>67487.99</v>
      </c>
      <c r="K16" s="2" t="n">
        <f aca="false">ROUND(D16*Assumptions!$B$19/100,2)</f>
        <v>13497.6</v>
      </c>
      <c r="L16" s="2" t="n">
        <f aca="false">J16+K16</f>
        <v>80985.59</v>
      </c>
      <c r="M16" s="2" t="n">
        <f aca="false">ROUND(E16*Assumptions!$B$7/100,2)</f>
        <v>27086.4</v>
      </c>
      <c r="N16" s="2" t="n">
        <f aca="false">ROUND(E16*Assumptions!$B$8/100,2)</f>
        <v>65007.36</v>
      </c>
      <c r="O16" s="2" t="n">
        <f aca="false">ROUND(E16*Assumptions!$B$17/100*C16/12,2)</f>
        <v>8125.92</v>
      </c>
      <c r="P16" s="2" t="n">
        <f aca="false">C16*Assumptions!$B$9/100</f>
        <v>8.4</v>
      </c>
      <c r="Q16" s="2" t="n">
        <f aca="false">C16-P16</f>
        <v>3.6</v>
      </c>
      <c r="R16" s="2" t="n">
        <f aca="false">S1!$B$2+S1!$B$32+E16+M16+N16</f>
        <v>1065521.76</v>
      </c>
      <c r="S16" s="2" t="n">
        <f aca="false">ROUND(R16*Assumptions!$B$10/100,2)</f>
        <v>852417.41</v>
      </c>
      <c r="T16" s="2" t="n">
        <f aca="false">ROUND((S1!$B$2+S1!$B$32+N16)*Assumptions!$B$10/100*Assumptions!$B$11/100/12*C16,2)</f>
        <v>39736.59</v>
      </c>
      <c r="U16" s="2" t="n">
        <f aca="false">ROUND((E16+M16)*Assumptions!$B$10/100*Assumptions!$B$11/100/12*(P16/2+Q16),2)</f>
        <v>29578.35</v>
      </c>
      <c r="V16" s="2" t="n">
        <f aca="false">T16+U16</f>
        <v>69314.94</v>
      </c>
      <c r="W16" s="2" t="n">
        <f aca="false">ROUND(S16*Assumptions!$B$12/100,2)</f>
        <v>17048.35</v>
      </c>
      <c r="X16" s="2" t="n">
        <f aca="false">Assumptions!$B$13*Assumptions!$B$14</f>
        <v>1000</v>
      </c>
      <c r="Y16" s="2" t="n">
        <f aca="false">V16+W16+X16</f>
        <v>87363.29</v>
      </c>
      <c r="Z16" s="2" t="n">
        <f aca="false">ROUND(S1!$B$2*Assumptions!$B$16/100*C16/12,2)</f>
        <v>9352.92</v>
      </c>
      <c r="AA16" s="2" t="n">
        <f aca="false">Z16+O16</f>
        <v>17478.84</v>
      </c>
      <c r="AB16" s="2" t="n">
        <f aca="false">F16-L16-S16</f>
        <v>322146.48</v>
      </c>
    </row>
    <row r="17" customFormat="false" ht="15" hidden="false" customHeight="false" outlineLevel="0" collapsed="false">
      <c r="A17" s="0" t="n">
        <v>-5</v>
      </c>
      <c r="B17" s="0" t="n">
        <v>0</v>
      </c>
      <c r="C17" s="0" t="n">
        <v>6</v>
      </c>
      <c r="D17" s="2" t="n">
        <f aca="false">ROUND(S1!$B$30*(1+A17/100),2)</f>
        <v>1349759.86</v>
      </c>
      <c r="E17" s="2" t="n">
        <f aca="false">ROUND(S1!$B$33*(1+B17/100),2)</f>
        <v>601920</v>
      </c>
      <c r="F17" s="2" t="n">
        <f aca="false">S1!$B$2+S1!$B$31+S1!$B$32+E17+M17+N17+Y17+AA17+L17</f>
        <v>1286087.63</v>
      </c>
      <c r="G17" s="2" t="n">
        <f aca="false">D17-F17</f>
        <v>63672.23</v>
      </c>
      <c r="H17" s="3" t="n">
        <f aca="false">ROUND(G17/D17,4)</f>
        <v>0.0472</v>
      </c>
      <c r="I17" s="3" t="n">
        <f aca="false">IF(AB17&lt;=0,"",ROUND(G17/AB17,4))</f>
        <v>0.2149</v>
      </c>
      <c r="J17" s="2" t="n">
        <f aca="false">ROUND(D17*Assumptions!$B$18/100,2)</f>
        <v>67487.99</v>
      </c>
      <c r="K17" s="2" t="n">
        <f aca="false">ROUND(D17*Assumptions!$B$19/100,2)</f>
        <v>13497.6</v>
      </c>
      <c r="L17" s="2" t="n">
        <f aca="false">J17+K17</f>
        <v>80985.59</v>
      </c>
      <c r="M17" s="2" t="n">
        <f aca="false">ROUND(E17*Assumptions!$B$7/100,2)</f>
        <v>30096</v>
      </c>
      <c r="N17" s="2" t="n">
        <f aca="false">ROUND(E17*Assumptions!$B$8/100,2)</f>
        <v>72230.4</v>
      </c>
      <c r="O17" s="2" t="n">
        <f aca="false">ROUND(E17*Assumptions!$B$17/100*C17/12,2)</f>
        <v>4514.4</v>
      </c>
      <c r="P17" s="2" t="n">
        <f aca="false">C17*Assumptions!$B$9/100</f>
        <v>4.2</v>
      </c>
      <c r="Q17" s="2" t="n">
        <f aca="false">C17-P17</f>
        <v>1.8</v>
      </c>
      <c r="R17" s="2" t="n">
        <f aca="false">S1!$B$2+S1!$B$32+E17+M17+N17</f>
        <v>1135946.4</v>
      </c>
      <c r="S17" s="2" t="n">
        <f aca="false">ROUND(R17*Assumptions!$B$10/100,2)</f>
        <v>908757.12</v>
      </c>
      <c r="T17" s="2" t="n">
        <f aca="false">ROUND((S1!$B$2+S1!$B$32+N17)*Assumptions!$B$10/100*Assumptions!$B$11/100/12*C17,2)</f>
        <v>20157.22</v>
      </c>
      <c r="U17" s="2" t="n">
        <f aca="false">ROUND((E17+M17)*Assumptions!$B$10/100*Assumptions!$B$11/100/12*(P17/2+Q17),2)</f>
        <v>16432.42</v>
      </c>
      <c r="V17" s="2" t="n">
        <f aca="false">T17+U17</f>
        <v>36589.64</v>
      </c>
      <c r="W17" s="2" t="n">
        <f aca="false">ROUND(S17*Assumptions!$B$12/100,2)</f>
        <v>18175.14</v>
      </c>
      <c r="X17" s="2" t="n">
        <f aca="false">Assumptions!$B$13*Assumptions!$B$14</f>
        <v>1000</v>
      </c>
      <c r="Y17" s="2" t="n">
        <f aca="false">V17+W17+X17</f>
        <v>55764.78</v>
      </c>
      <c r="Z17" s="2" t="n">
        <f aca="false">ROUND(S1!$B$2*Assumptions!$B$16/100*C17/12,2)</f>
        <v>4676.46</v>
      </c>
      <c r="AA17" s="2" t="n">
        <f aca="false">Z17+O17</f>
        <v>9190.86</v>
      </c>
      <c r="AB17" s="2" t="n">
        <f aca="false">F17-L17-S17</f>
        <v>296344.92</v>
      </c>
    </row>
    <row r="18" customFormat="false" ht="15" hidden="false" customHeight="false" outlineLevel="0" collapsed="false">
      <c r="A18" s="0" t="n">
        <v>-5</v>
      </c>
      <c r="B18" s="0" t="n">
        <v>0</v>
      </c>
      <c r="C18" s="0" t="n">
        <v>9</v>
      </c>
      <c r="D18" s="2" t="n">
        <f aca="false">ROUND(S1!$B$30*(1+A18/100),2)</f>
        <v>1349759.86</v>
      </c>
      <c r="E18" s="2" t="n">
        <f aca="false">ROUND(S1!$B$33*(1+B18/100),2)</f>
        <v>601920</v>
      </c>
      <c r="F18" s="2" t="n">
        <f aca="false">S1!$B$2+S1!$B$31+S1!$B$32+E18+M18+N18+Y18+AA18+L18</f>
        <v>1308977.86</v>
      </c>
      <c r="G18" s="2" t="n">
        <f aca="false">D18-F18</f>
        <v>40782</v>
      </c>
      <c r="H18" s="3" t="n">
        <f aca="false">ROUND(G18/D18,4)</f>
        <v>0.0302</v>
      </c>
      <c r="I18" s="3" t="n">
        <f aca="false">IF(AB18&lt;=0,"",ROUND(G18/AB18,4))</f>
        <v>0.1277</v>
      </c>
      <c r="J18" s="2" t="n">
        <f aca="false">ROUND(D18*Assumptions!$B$18/100,2)</f>
        <v>67487.99</v>
      </c>
      <c r="K18" s="2" t="n">
        <f aca="false">ROUND(D18*Assumptions!$B$19/100,2)</f>
        <v>13497.6</v>
      </c>
      <c r="L18" s="2" t="n">
        <f aca="false">J18+K18</f>
        <v>80985.59</v>
      </c>
      <c r="M18" s="2" t="n">
        <f aca="false">ROUND(E18*Assumptions!$B$7/100,2)</f>
        <v>30096</v>
      </c>
      <c r="N18" s="2" t="n">
        <f aca="false">ROUND(E18*Assumptions!$B$8/100,2)</f>
        <v>72230.4</v>
      </c>
      <c r="O18" s="2" t="n">
        <f aca="false">ROUND(E18*Assumptions!$B$17/100*C18/12,2)</f>
        <v>6771.6</v>
      </c>
      <c r="P18" s="2" t="n">
        <f aca="false">C18*Assumptions!$B$9/100</f>
        <v>6.3</v>
      </c>
      <c r="Q18" s="2" t="n">
        <f aca="false">C18-P18</f>
        <v>2.7</v>
      </c>
      <c r="R18" s="2" t="n">
        <f aca="false">S1!$B$2+S1!$B$32+E18+M18+N18</f>
        <v>1135946.4</v>
      </c>
      <c r="S18" s="2" t="n">
        <f aca="false">ROUND(R18*Assumptions!$B$10/100,2)</f>
        <v>908757.12</v>
      </c>
      <c r="T18" s="2" t="n">
        <f aca="false">ROUND((S1!$B$2+S1!$B$32+N18)*Assumptions!$B$10/100*Assumptions!$B$11/100/12*C18,2)</f>
        <v>30235.82</v>
      </c>
      <c r="U18" s="2" t="n">
        <f aca="false">ROUND((E18+M18)*Assumptions!$B$10/100*Assumptions!$B$11/100/12*(P18/2+Q18),2)</f>
        <v>24648.62</v>
      </c>
      <c r="V18" s="2" t="n">
        <f aca="false">T18+U18</f>
        <v>54884.44</v>
      </c>
      <c r="W18" s="2" t="n">
        <f aca="false">ROUND(S18*Assumptions!$B$12/100,2)</f>
        <v>18175.14</v>
      </c>
      <c r="X18" s="2" t="n">
        <f aca="false">Assumptions!$B$13*Assumptions!$B$14</f>
        <v>1000</v>
      </c>
      <c r="Y18" s="2" t="n">
        <f aca="false">V18+W18+X18</f>
        <v>74059.58</v>
      </c>
      <c r="Z18" s="2" t="n">
        <f aca="false">ROUND(S1!$B$2*Assumptions!$B$16/100*C18/12,2)</f>
        <v>7014.69</v>
      </c>
      <c r="AA18" s="2" t="n">
        <f aca="false">Z18+O18</f>
        <v>13786.29</v>
      </c>
      <c r="AB18" s="2" t="n">
        <f aca="false">F18-L18-S18</f>
        <v>319235.15</v>
      </c>
    </row>
    <row r="19" customFormat="false" ht="15" hidden="false" customHeight="false" outlineLevel="0" collapsed="false">
      <c r="A19" s="0" t="n">
        <v>-5</v>
      </c>
      <c r="B19" s="0" t="n">
        <v>0</v>
      </c>
      <c r="C19" s="0" t="n">
        <v>12</v>
      </c>
      <c r="D19" s="2" t="n">
        <f aca="false">ROUND(S1!$B$30*(1+A19/100),2)</f>
        <v>1349759.86</v>
      </c>
      <c r="E19" s="2" t="n">
        <f aca="false">ROUND(S1!$B$33*(1+B19/100),2)</f>
        <v>601920</v>
      </c>
      <c r="F19" s="2" t="n">
        <f aca="false">S1!$B$2+S1!$B$31+S1!$B$32+E19+M19+N19+Y19+AA19+L19</f>
        <v>1331868.11</v>
      </c>
      <c r="G19" s="2" t="n">
        <f aca="false">D19-F19</f>
        <v>17891.7500000002</v>
      </c>
      <c r="H19" s="3" t="n">
        <f aca="false">ROUND(G19/D19,4)</f>
        <v>0.0133</v>
      </c>
      <c r="I19" s="3" t="n">
        <f aca="false">IF(AB19&lt;=0,"",ROUND(G19/AB19,4))</f>
        <v>0.0523</v>
      </c>
      <c r="J19" s="2" t="n">
        <f aca="false">ROUND(D19*Assumptions!$B$18/100,2)</f>
        <v>67487.99</v>
      </c>
      <c r="K19" s="2" t="n">
        <f aca="false">ROUND(D19*Assumptions!$B$19/100,2)</f>
        <v>13497.6</v>
      </c>
      <c r="L19" s="2" t="n">
        <f aca="false">J19+K19</f>
        <v>80985.59</v>
      </c>
      <c r="M19" s="2" t="n">
        <f aca="false">ROUND(E19*Assumptions!$B$7/100,2)</f>
        <v>30096</v>
      </c>
      <c r="N19" s="2" t="n">
        <f aca="false">ROUND(E19*Assumptions!$B$8/100,2)</f>
        <v>72230.4</v>
      </c>
      <c r="O19" s="2" t="n">
        <f aca="false">ROUND(E19*Assumptions!$B$17/100*C19/12,2)</f>
        <v>9028.8</v>
      </c>
      <c r="P19" s="2" t="n">
        <f aca="false">C19*Assumptions!$B$9/100</f>
        <v>8.4</v>
      </c>
      <c r="Q19" s="2" t="n">
        <f aca="false">C19-P19</f>
        <v>3.6</v>
      </c>
      <c r="R19" s="2" t="n">
        <f aca="false">S1!$B$2+S1!$B$32+E19+M19+N19</f>
        <v>1135946.4</v>
      </c>
      <c r="S19" s="2" t="n">
        <f aca="false">ROUND(R19*Assumptions!$B$10/100,2)</f>
        <v>908757.12</v>
      </c>
      <c r="T19" s="2" t="n">
        <f aca="false">ROUND((S1!$B$2+S1!$B$32+N19)*Assumptions!$B$10/100*Assumptions!$B$11/100/12*C19,2)</f>
        <v>40314.43</v>
      </c>
      <c r="U19" s="2" t="n">
        <f aca="false">ROUND((E19+M19)*Assumptions!$B$10/100*Assumptions!$B$11/100/12*(P19/2+Q19),2)</f>
        <v>32864.83</v>
      </c>
      <c r="V19" s="2" t="n">
        <f aca="false">T19+U19</f>
        <v>73179.26</v>
      </c>
      <c r="W19" s="2" t="n">
        <f aca="false">ROUND(S19*Assumptions!$B$12/100,2)</f>
        <v>18175.14</v>
      </c>
      <c r="X19" s="2" t="n">
        <f aca="false">Assumptions!$B$13*Assumptions!$B$14</f>
        <v>1000</v>
      </c>
      <c r="Y19" s="2" t="n">
        <f aca="false">V19+W19+X19</f>
        <v>92354.4</v>
      </c>
      <c r="Z19" s="2" t="n">
        <f aca="false">ROUND(S1!$B$2*Assumptions!$B$16/100*C19/12,2)</f>
        <v>9352.92</v>
      </c>
      <c r="AA19" s="2" t="n">
        <f aca="false">Z19+O19</f>
        <v>18381.72</v>
      </c>
      <c r="AB19" s="2" t="n">
        <f aca="false">F19-L19-S19</f>
        <v>342125.4</v>
      </c>
    </row>
    <row r="20" customFormat="false" ht="15" hidden="false" customHeight="false" outlineLevel="0" collapsed="false">
      <c r="A20" s="0" t="n">
        <v>-5</v>
      </c>
      <c r="B20" s="0" t="n">
        <v>10</v>
      </c>
      <c r="C20" s="0" t="n">
        <v>6</v>
      </c>
      <c r="D20" s="2" t="n">
        <f aca="false">ROUND(S1!$B$30*(1+A20/100),2)</f>
        <v>1349759.86</v>
      </c>
      <c r="E20" s="2" t="n">
        <f aca="false">ROUND(S1!$B$33*(1+B20/100),2)</f>
        <v>662112</v>
      </c>
      <c r="F20" s="2" t="n">
        <f aca="false">S1!$B$2+S1!$B$31+S1!$B$32+E20+M20+N20+Y20+AA20+L20</f>
        <v>1360022.67</v>
      </c>
      <c r="G20" s="2" t="n">
        <f aca="false">D20-F20</f>
        <v>-10262.8100000001</v>
      </c>
      <c r="H20" s="3" t="n">
        <f aca="false">ROUND(G20/D20,4)</f>
        <v>-0.0076</v>
      </c>
      <c r="I20" s="3" t="n">
        <f aca="false">IF(AB20&lt;=0,"",ROUND(G20/AB20,4))</f>
        <v>-0.0327</v>
      </c>
      <c r="J20" s="2" t="n">
        <f aca="false">ROUND(D20*Assumptions!$B$18/100,2)</f>
        <v>67487.99</v>
      </c>
      <c r="K20" s="2" t="n">
        <f aca="false">ROUND(D20*Assumptions!$B$19/100,2)</f>
        <v>13497.6</v>
      </c>
      <c r="L20" s="2" t="n">
        <f aca="false">J20+K20</f>
        <v>80985.59</v>
      </c>
      <c r="M20" s="2" t="n">
        <f aca="false">ROUND(E20*Assumptions!$B$7/100,2)</f>
        <v>33105.6</v>
      </c>
      <c r="N20" s="2" t="n">
        <f aca="false">ROUND(E20*Assumptions!$B$8/100,2)</f>
        <v>79453.44</v>
      </c>
      <c r="O20" s="2" t="n">
        <f aca="false">ROUND(E20*Assumptions!$B$17/100*C20/12,2)</f>
        <v>4965.84</v>
      </c>
      <c r="P20" s="2" t="n">
        <f aca="false">C20*Assumptions!$B$9/100</f>
        <v>4.2</v>
      </c>
      <c r="Q20" s="2" t="n">
        <f aca="false">C20-P20</f>
        <v>1.8</v>
      </c>
      <c r="R20" s="2" t="n">
        <f aca="false">S1!$B$2+S1!$B$32+E20+M20+N20</f>
        <v>1206371.04</v>
      </c>
      <c r="S20" s="2" t="n">
        <f aca="false">ROUND(R20*Assumptions!$B$10/100,2)</f>
        <v>965096.83</v>
      </c>
      <c r="T20" s="2" t="n">
        <f aca="false">ROUND((S1!$B$2+S1!$B$32+N20)*Assumptions!$B$10/100*Assumptions!$B$11/100/12*C20,2)</f>
        <v>20446.14</v>
      </c>
      <c r="U20" s="2" t="n">
        <f aca="false">ROUND((E20+M20)*Assumptions!$B$10/100*Assumptions!$B$11/100/12*(P20/2+Q20),2)</f>
        <v>18075.66</v>
      </c>
      <c r="V20" s="2" t="n">
        <f aca="false">T20+U20</f>
        <v>38521.8</v>
      </c>
      <c r="W20" s="2" t="n">
        <f aca="false">ROUND(S20*Assumptions!$B$12/100,2)</f>
        <v>19301.94</v>
      </c>
      <c r="X20" s="2" t="n">
        <f aca="false">Assumptions!$B$13*Assumptions!$B$14</f>
        <v>1000</v>
      </c>
      <c r="Y20" s="2" t="n">
        <f aca="false">V20+W20+X20</f>
        <v>58823.74</v>
      </c>
      <c r="Z20" s="2" t="n">
        <f aca="false">ROUND(S1!$B$2*Assumptions!$B$16/100*C20/12,2)</f>
        <v>4676.46</v>
      </c>
      <c r="AA20" s="2" t="n">
        <f aca="false">Z20+O20</f>
        <v>9642.3</v>
      </c>
      <c r="AB20" s="2" t="n">
        <f aca="false">F20-L20-S20</f>
        <v>313940.25</v>
      </c>
    </row>
    <row r="21" customFormat="false" ht="15" hidden="false" customHeight="false" outlineLevel="0" collapsed="false">
      <c r="A21" s="0" t="n">
        <v>-5</v>
      </c>
      <c r="B21" s="0" t="n">
        <v>10</v>
      </c>
      <c r="C21" s="0" t="n">
        <v>9</v>
      </c>
      <c r="D21" s="2" t="n">
        <f aca="false">ROUND(S1!$B$30*(1+A21/100),2)</f>
        <v>1349759.86</v>
      </c>
      <c r="E21" s="2" t="n">
        <f aca="false">ROUND(S1!$B$33*(1+B21/100),2)</f>
        <v>662112</v>
      </c>
      <c r="F21" s="2" t="n">
        <f aca="false">S1!$B$2+S1!$B$31+S1!$B$32+E21+M21+N21+Y21+AA21+L21</f>
        <v>1384104.72</v>
      </c>
      <c r="G21" s="2" t="n">
        <f aca="false">D21-F21</f>
        <v>-34344.8599999999</v>
      </c>
      <c r="H21" s="3" t="n">
        <f aca="false">ROUND(G21/D21,4)</f>
        <v>-0.0254</v>
      </c>
      <c r="I21" s="3" t="n">
        <f aca="false">IF(AB21&lt;=0,"",ROUND(G21/AB21,4))</f>
        <v>-0.1016</v>
      </c>
      <c r="J21" s="2" t="n">
        <f aca="false">ROUND(D21*Assumptions!$B$18/100,2)</f>
        <v>67487.99</v>
      </c>
      <c r="K21" s="2" t="n">
        <f aca="false">ROUND(D21*Assumptions!$B$19/100,2)</f>
        <v>13497.6</v>
      </c>
      <c r="L21" s="2" t="n">
        <f aca="false">J21+K21</f>
        <v>80985.59</v>
      </c>
      <c r="M21" s="2" t="n">
        <f aca="false">ROUND(E21*Assumptions!$B$7/100,2)</f>
        <v>33105.6</v>
      </c>
      <c r="N21" s="2" t="n">
        <f aca="false">ROUND(E21*Assumptions!$B$8/100,2)</f>
        <v>79453.44</v>
      </c>
      <c r="O21" s="2" t="n">
        <f aca="false">ROUND(E21*Assumptions!$B$17/100*C21/12,2)</f>
        <v>7448.76</v>
      </c>
      <c r="P21" s="2" t="n">
        <f aca="false">C21*Assumptions!$B$9/100</f>
        <v>6.3</v>
      </c>
      <c r="Q21" s="2" t="n">
        <f aca="false">C21-P21</f>
        <v>2.7</v>
      </c>
      <c r="R21" s="2" t="n">
        <f aca="false">S1!$B$2+S1!$B$32+E21+M21+N21</f>
        <v>1206371.04</v>
      </c>
      <c r="S21" s="2" t="n">
        <f aca="false">ROUND(R21*Assumptions!$B$10/100,2)</f>
        <v>965096.83</v>
      </c>
      <c r="T21" s="2" t="n">
        <f aca="false">ROUND((S1!$B$2+S1!$B$32+N21)*Assumptions!$B$10/100*Assumptions!$B$11/100/12*C21,2)</f>
        <v>30669.21</v>
      </c>
      <c r="U21" s="2" t="n">
        <f aca="false">ROUND((E21+M21)*Assumptions!$B$10/100*Assumptions!$B$11/100/12*(P21/2+Q21),2)</f>
        <v>27113.49</v>
      </c>
      <c r="V21" s="2" t="n">
        <f aca="false">T21+U21</f>
        <v>57782.7</v>
      </c>
      <c r="W21" s="2" t="n">
        <f aca="false">ROUND(S21*Assumptions!$B$12/100,2)</f>
        <v>19301.94</v>
      </c>
      <c r="X21" s="2" t="n">
        <f aca="false">Assumptions!$B$13*Assumptions!$B$14</f>
        <v>1000</v>
      </c>
      <c r="Y21" s="2" t="n">
        <f aca="false">V21+W21+X21</f>
        <v>78084.64</v>
      </c>
      <c r="Z21" s="2" t="n">
        <f aca="false">ROUND(S1!$B$2*Assumptions!$B$16/100*C21/12,2)</f>
        <v>7014.69</v>
      </c>
      <c r="AA21" s="2" t="n">
        <f aca="false">Z21+O21</f>
        <v>14463.45</v>
      </c>
      <c r="AB21" s="2" t="n">
        <f aca="false">F21-L21-S21</f>
        <v>338022.3</v>
      </c>
    </row>
    <row r="22" customFormat="false" ht="15" hidden="false" customHeight="false" outlineLevel="0" collapsed="false">
      <c r="A22" s="0" t="n">
        <v>-5</v>
      </c>
      <c r="B22" s="0" t="n">
        <v>10</v>
      </c>
      <c r="C22" s="0" t="n">
        <v>12</v>
      </c>
      <c r="D22" s="2" t="n">
        <f aca="false">ROUND(S1!$B$30*(1+A22/100),2)</f>
        <v>1349759.86</v>
      </c>
      <c r="E22" s="2" t="n">
        <f aca="false">ROUND(S1!$B$33*(1+B22/100),2)</f>
        <v>662112</v>
      </c>
      <c r="F22" s="2" t="n">
        <f aca="false">S1!$B$2+S1!$B$31+S1!$B$32+E22+M22+N22+Y22+AA22+L22</f>
        <v>1408186.77</v>
      </c>
      <c r="G22" s="2" t="n">
        <f aca="false">D22-F22</f>
        <v>-58426.9100000002</v>
      </c>
      <c r="H22" s="3" t="n">
        <f aca="false">ROUND(G22/D22,4)</f>
        <v>-0.0433</v>
      </c>
      <c r="I22" s="3" t="n">
        <f aca="false">IF(AB22&lt;=0,"",ROUND(G22/AB22,4))</f>
        <v>-0.1614</v>
      </c>
      <c r="J22" s="2" t="n">
        <f aca="false">ROUND(D22*Assumptions!$B$18/100,2)</f>
        <v>67487.99</v>
      </c>
      <c r="K22" s="2" t="n">
        <f aca="false">ROUND(D22*Assumptions!$B$19/100,2)</f>
        <v>13497.6</v>
      </c>
      <c r="L22" s="2" t="n">
        <f aca="false">J22+K22</f>
        <v>80985.59</v>
      </c>
      <c r="M22" s="2" t="n">
        <f aca="false">ROUND(E22*Assumptions!$B$7/100,2)</f>
        <v>33105.6</v>
      </c>
      <c r="N22" s="2" t="n">
        <f aca="false">ROUND(E22*Assumptions!$B$8/100,2)</f>
        <v>79453.44</v>
      </c>
      <c r="O22" s="2" t="n">
        <f aca="false">ROUND(E22*Assumptions!$B$17/100*C22/12,2)</f>
        <v>9931.68</v>
      </c>
      <c r="P22" s="2" t="n">
        <f aca="false">C22*Assumptions!$B$9/100</f>
        <v>8.4</v>
      </c>
      <c r="Q22" s="2" t="n">
        <f aca="false">C22-P22</f>
        <v>3.6</v>
      </c>
      <c r="R22" s="2" t="n">
        <f aca="false">S1!$B$2+S1!$B$32+E22+M22+N22</f>
        <v>1206371.04</v>
      </c>
      <c r="S22" s="2" t="n">
        <f aca="false">ROUND(R22*Assumptions!$B$10/100,2)</f>
        <v>965096.83</v>
      </c>
      <c r="T22" s="2" t="n">
        <f aca="false">ROUND((S1!$B$2+S1!$B$32+N22)*Assumptions!$B$10/100*Assumptions!$B$11/100/12*C22,2)</f>
        <v>40892.28</v>
      </c>
      <c r="U22" s="2" t="n">
        <f aca="false">ROUND((E22+M22)*Assumptions!$B$10/100*Assumptions!$B$11/100/12*(P22/2+Q22),2)</f>
        <v>36151.32</v>
      </c>
      <c r="V22" s="2" t="n">
        <f aca="false">T22+U22</f>
        <v>77043.6</v>
      </c>
      <c r="W22" s="2" t="n">
        <f aca="false">ROUND(S22*Assumptions!$B$12/100,2)</f>
        <v>19301.94</v>
      </c>
      <c r="X22" s="2" t="n">
        <f aca="false">Assumptions!$B$13*Assumptions!$B$14</f>
        <v>1000</v>
      </c>
      <c r="Y22" s="2" t="n">
        <f aca="false">V22+W22+X22</f>
        <v>97345.54</v>
      </c>
      <c r="Z22" s="2" t="n">
        <f aca="false">ROUND(S1!$B$2*Assumptions!$B$16/100*C22/12,2)</f>
        <v>9352.92</v>
      </c>
      <c r="AA22" s="2" t="n">
        <f aca="false">Z22+O22</f>
        <v>19284.6</v>
      </c>
      <c r="AB22" s="2" t="n">
        <f aca="false">F22-L22-S22</f>
        <v>362104.35</v>
      </c>
    </row>
    <row r="23" customFormat="false" ht="15" hidden="false" customHeight="false" outlineLevel="0" collapsed="false">
      <c r="A23" s="0" t="n">
        <v>-5</v>
      </c>
      <c r="B23" s="0" t="n">
        <v>20</v>
      </c>
      <c r="C23" s="0" t="n">
        <v>6</v>
      </c>
      <c r="D23" s="2" t="n">
        <f aca="false">ROUND(S1!$B$30*(1+A23/100),2)</f>
        <v>1349759.86</v>
      </c>
      <c r="E23" s="2" t="n">
        <f aca="false">ROUND(S1!$B$33*(1+B23/100),2)</f>
        <v>722304</v>
      </c>
      <c r="F23" s="2" t="n">
        <f aca="false">S1!$B$2+S1!$B$31+S1!$B$32+E23+M23+N23+Y23+AA23+L23</f>
        <v>1433957.7</v>
      </c>
      <c r="G23" s="2" t="n">
        <f aca="false">D23-F23</f>
        <v>-84197.8399999999</v>
      </c>
      <c r="H23" s="3" t="n">
        <f aca="false">ROUND(G23/D23,4)</f>
        <v>-0.0624</v>
      </c>
      <c r="I23" s="3" t="n">
        <f aca="false">IF(AB23&lt;=0,"",ROUND(G23/AB23,4))</f>
        <v>-0.254</v>
      </c>
      <c r="J23" s="2" t="n">
        <f aca="false">ROUND(D23*Assumptions!$B$18/100,2)</f>
        <v>67487.99</v>
      </c>
      <c r="K23" s="2" t="n">
        <f aca="false">ROUND(D23*Assumptions!$B$19/100,2)</f>
        <v>13497.6</v>
      </c>
      <c r="L23" s="2" t="n">
        <f aca="false">J23+K23</f>
        <v>80985.59</v>
      </c>
      <c r="M23" s="2" t="n">
        <f aca="false">ROUND(E23*Assumptions!$B$7/100,2)</f>
        <v>36115.2</v>
      </c>
      <c r="N23" s="2" t="n">
        <f aca="false">ROUND(E23*Assumptions!$B$8/100,2)</f>
        <v>86676.48</v>
      </c>
      <c r="O23" s="2" t="n">
        <f aca="false">ROUND(E23*Assumptions!$B$17/100*C23/12,2)</f>
        <v>5417.28</v>
      </c>
      <c r="P23" s="2" t="n">
        <f aca="false">C23*Assumptions!$B$9/100</f>
        <v>4.2</v>
      </c>
      <c r="Q23" s="2" t="n">
        <f aca="false">C23-P23</f>
        <v>1.8</v>
      </c>
      <c r="R23" s="2" t="n">
        <f aca="false">S1!$B$2+S1!$B$32+E23+M23+N23</f>
        <v>1276795.68</v>
      </c>
      <c r="S23" s="2" t="n">
        <f aca="false">ROUND(R23*Assumptions!$B$10/100,2)</f>
        <v>1021436.54</v>
      </c>
      <c r="T23" s="2" t="n">
        <f aca="false">ROUND((S1!$B$2+S1!$B$32+N23)*Assumptions!$B$10/100*Assumptions!$B$11/100/12*C23,2)</f>
        <v>20735.06</v>
      </c>
      <c r="U23" s="2" t="n">
        <f aca="false">ROUND((E23+M23)*Assumptions!$B$10/100*Assumptions!$B$11/100/12*(P23/2+Q23),2)</f>
        <v>19718.9</v>
      </c>
      <c r="V23" s="2" t="n">
        <f aca="false">T23+U23</f>
        <v>40453.96</v>
      </c>
      <c r="W23" s="2" t="n">
        <f aca="false">ROUND(S23*Assumptions!$B$12/100,2)</f>
        <v>20428.73</v>
      </c>
      <c r="X23" s="2" t="n">
        <f aca="false">Assumptions!$B$13*Assumptions!$B$14</f>
        <v>1000</v>
      </c>
      <c r="Y23" s="2" t="n">
        <f aca="false">V23+W23+X23</f>
        <v>61882.69</v>
      </c>
      <c r="Z23" s="2" t="n">
        <f aca="false">ROUND(S1!$B$2*Assumptions!$B$16/100*C23/12,2)</f>
        <v>4676.46</v>
      </c>
      <c r="AA23" s="2" t="n">
        <f aca="false">Z23+O23</f>
        <v>10093.74</v>
      </c>
      <c r="AB23" s="2" t="n">
        <f aca="false">F23-L23-S23</f>
        <v>331535.57</v>
      </c>
    </row>
    <row r="24" customFormat="false" ht="15" hidden="false" customHeight="false" outlineLevel="0" collapsed="false">
      <c r="A24" s="0" t="n">
        <v>-5</v>
      </c>
      <c r="B24" s="0" t="n">
        <v>20</v>
      </c>
      <c r="C24" s="0" t="n">
        <v>9</v>
      </c>
      <c r="D24" s="2" t="n">
        <f aca="false">ROUND(S1!$B$30*(1+A24/100),2)</f>
        <v>1349759.86</v>
      </c>
      <c r="E24" s="2" t="n">
        <f aca="false">ROUND(S1!$B$33*(1+B24/100),2)</f>
        <v>722304</v>
      </c>
      <c r="F24" s="2" t="n">
        <f aca="false">S1!$B$2+S1!$B$31+S1!$B$32+E24+M24+N24+Y24+AA24+L24</f>
        <v>1459231.55</v>
      </c>
      <c r="G24" s="2" t="n">
        <f aca="false">D24-F24</f>
        <v>-109471.69</v>
      </c>
      <c r="H24" s="3" t="n">
        <f aca="false">ROUND(G24/D24,4)</f>
        <v>-0.0811</v>
      </c>
      <c r="I24" s="3" t="n">
        <f aca="false">IF(AB24&lt;=0,"",ROUND(G24/AB24,4))</f>
        <v>-0.3068</v>
      </c>
      <c r="J24" s="2" t="n">
        <f aca="false">ROUND(D24*Assumptions!$B$18/100,2)</f>
        <v>67487.99</v>
      </c>
      <c r="K24" s="2" t="n">
        <f aca="false">ROUND(D24*Assumptions!$B$19/100,2)</f>
        <v>13497.6</v>
      </c>
      <c r="L24" s="2" t="n">
        <f aca="false">J24+K24</f>
        <v>80985.59</v>
      </c>
      <c r="M24" s="2" t="n">
        <f aca="false">ROUND(E24*Assumptions!$B$7/100,2)</f>
        <v>36115.2</v>
      </c>
      <c r="N24" s="2" t="n">
        <f aca="false">ROUND(E24*Assumptions!$B$8/100,2)</f>
        <v>86676.48</v>
      </c>
      <c r="O24" s="2" t="n">
        <f aca="false">ROUND(E24*Assumptions!$B$17/100*C24/12,2)</f>
        <v>8125.92</v>
      </c>
      <c r="P24" s="2" t="n">
        <f aca="false">C24*Assumptions!$B$9/100</f>
        <v>6.3</v>
      </c>
      <c r="Q24" s="2" t="n">
        <f aca="false">C24-P24</f>
        <v>2.7</v>
      </c>
      <c r="R24" s="2" t="n">
        <f aca="false">S1!$B$2+S1!$B$32+E24+M24+N24</f>
        <v>1276795.68</v>
      </c>
      <c r="S24" s="2" t="n">
        <f aca="false">ROUND(R24*Assumptions!$B$10/100,2)</f>
        <v>1021436.54</v>
      </c>
      <c r="T24" s="2" t="n">
        <f aca="false">ROUND((S1!$B$2+S1!$B$32+N24)*Assumptions!$B$10/100*Assumptions!$B$11/100/12*C24,2)</f>
        <v>31102.59</v>
      </c>
      <c r="U24" s="2" t="n">
        <f aca="false">ROUND((E24+M24)*Assumptions!$B$10/100*Assumptions!$B$11/100/12*(P24/2+Q24),2)</f>
        <v>29578.35</v>
      </c>
      <c r="V24" s="2" t="n">
        <f aca="false">T24+U24</f>
        <v>60680.94</v>
      </c>
      <c r="W24" s="2" t="n">
        <f aca="false">ROUND(S24*Assumptions!$B$12/100,2)</f>
        <v>20428.73</v>
      </c>
      <c r="X24" s="2" t="n">
        <f aca="false">Assumptions!$B$13*Assumptions!$B$14</f>
        <v>1000</v>
      </c>
      <c r="Y24" s="2" t="n">
        <f aca="false">V24+W24+X24</f>
        <v>82109.67</v>
      </c>
      <c r="Z24" s="2" t="n">
        <f aca="false">ROUND(S1!$B$2*Assumptions!$B$16/100*C24/12,2)</f>
        <v>7014.69</v>
      </c>
      <c r="AA24" s="2" t="n">
        <f aca="false">Z24+O24</f>
        <v>15140.61</v>
      </c>
      <c r="AB24" s="2" t="n">
        <f aca="false">F24-L24-S24</f>
        <v>356809.42</v>
      </c>
    </row>
    <row r="25" customFormat="false" ht="15" hidden="false" customHeight="false" outlineLevel="0" collapsed="false">
      <c r="A25" s="0" t="n">
        <v>-5</v>
      </c>
      <c r="B25" s="0" t="n">
        <v>20</v>
      </c>
      <c r="C25" s="0" t="n">
        <v>12</v>
      </c>
      <c r="D25" s="2" t="n">
        <f aca="false">ROUND(S1!$B$30*(1+A25/100),2)</f>
        <v>1349759.86</v>
      </c>
      <c r="E25" s="2" t="n">
        <f aca="false">ROUND(S1!$B$33*(1+B25/100),2)</f>
        <v>722304</v>
      </c>
      <c r="F25" s="2" t="n">
        <f aca="false">S1!$B$2+S1!$B$31+S1!$B$32+E25+M25+N25+Y25+AA25+L25</f>
        <v>1484505.4</v>
      </c>
      <c r="G25" s="2" t="n">
        <f aca="false">D25-F25</f>
        <v>-134745.54</v>
      </c>
      <c r="H25" s="3" t="n">
        <f aca="false">ROUND(G25/D25,4)</f>
        <v>-0.0998</v>
      </c>
      <c r="I25" s="3" t="n">
        <f aca="false">IF(AB25&lt;=0,"",ROUND(G25/AB25,4))</f>
        <v>-0.3527</v>
      </c>
      <c r="J25" s="2" t="n">
        <f aca="false">ROUND(D25*Assumptions!$B$18/100,2)</f>
        <v>67487.99</v>
      </c>
      <c r="K25" s="2" t="n">
        <f aca="false">ROUND(D25*Assumptions!$B$19/100,2)</f>
        <v>13497.6</v>
      </c>
      <c r="L25" s="2" t="n">
        <f aca="false">J25+K25</f>
        <v>80985.59</v>
      </c>
      <c r="M25" s="2" t="n">
        <f aca="false">ROUND(E25*Assumptions!$B$7/100,2)</f>
        <v>36115.2</v>
      </c>
      <c r="N25" s="2" t="n">
        <f aca="false">ROUND(E25*Assumptions!$B$8/100,2)</f>
        <v>86676.48</v>
      </c>
      <c r="O25" s="2" t="n">
        <f aca="false">ROUND(E25*Assumptions!$B$17/100*C25/12,2)</f>
        <v>10834.56</v>
      </c>
      <c r="P25" s="2" t="n">
        <f aca="false">C25*Assumptions!$B$9/100</f>
        <v>8.4</v>
      </c>
      <c r="Q25" s="2" t="n">
        <f aca="false">C25-P25</f>
        <v>3.6</v>
      </c>
      <c r="R25" s="2" t="n">
        <f aca="false">S1!$B$2+S1!$B$32+E25+M25+N25</f>
        <v>1276795.68</v>
      </c>
      <c r="S25" s="2" t="n">
        <f aca="false">ROUND(R25*Assumptions!$B$10/100,2)</f>
        <v>1021436.54</v>
      </c>
      <c r="T25" s="2" t="n">
        <f aca="false">ROUND((S1!$B$2+S1!$B$32+N25)*Assumptions!$B$10/100*Assumptions!$B$11/100/12*C25,2)</f>
        <v>41470.12</v>
      </c>
      <c r="U25" s="2" t="n">
        <f aca="false">ROUND((E25+M25)*Assumptions!$B$10/100*Assumptions!$B$11/100/12*(P25/2+Q25),2)</f>
        <v>39437.8</v>
      </c>
      <c r="V25" s="2" t="n">
        <f aca="false">T25+U25</f>
        <v>80907.92</v>
      </c>
      <c r="W25" s="2" t="n">
        <f aca="false">ROUND(S25*Assumptions!$B$12/100,2)</f>
        <v>20428.73</v>
      </c>
      <c r="X25" s="2" t="n">
        <f aca="false">Assumptions!$B$13*Assumptions!$B$14</f>
        <v>1000</v>
      </c>
      <c r="Y25" s="2" t="n">
        <f aca="false">V25+W25+X25</f>
        <v>102336.65</v>
      </c>
      <c r="Z25" s="2" t="n">
        <f aca="false">ROUND(S1!$B$2*Assumptions!$B$16/100*C25/12,2)</f>
        <v>9352.92</v>
      </c>
      <c r="AA25" s="2" t="n">
        <f aca="false">Z25+O25</f>
        <v>20187.48</v>
      </c>
      <c r="AB25" s="2" t="n">
        <f aca="false">F25-L25-S25</f>
        <v>382083.27</v>
      </c>
    </row>
    <row r="26" customFormat="false" ht="15" hidden="false" customHeight="false" outlineLevel="0" collapsed="false">
      <c r="A26" s="0" t="n">
        <v>0</v>
      </c>
      <c r="B26" s="0" t="n">
        <v>-10</v>
      </c>
      <c r="C26" s="0" t="n">
        <v>6</v>
      </c>
      <c r="D26" s="2" t="n">
        <f aca="false">ROUND(S1!$B$30*(1+A26/100),2)</f>
        <v>1420799.85</v>
      </c>
      <c r="E26" s="2" t="n">
        <f aca="false">ROUND(S1!$B$33*(1+B26/100),2)</f>
        <v>541728</v>
      </c>
      <c r="F26" s="2" t="n">
        <f aca="false">S1!$B$2+S1!$B$31+S1!$B$32+E26+M26+N26+Y26+AA26+L26</f>
        <v>1216414.98</v>
      </c>
      <c r="G26" s="2" t="n">
        <f aca="false">D26-F26</f>
        <v>204384.87</v>
      </c>
      <c r="H26" s="3" t="n">
        <f aca="false">ROUND(G26/D26,4)</f>
        <v>0.1439</v>
      </c>
      <c r="I26" s="3" t="n">
        <f aca="false">IF(AB26&lt;=0,"",ROUND(G26/AB26,4))</f>
        <v>0.7332</v>
      </c>
      <c r="J26" s="2" t="n">
        <f aca="false">ROUND(D26*Assumptions!$B$18/100,2)</f>
        <v>71039.99</v>
      </c>
      <c r="K26" s="2" t="n">
        <f aca="false">ROUND(D26*Assumptions!$B$19/100,2)</f>
        <v>14208</v>
      </c>
      <c r="L26" s="2" t="n">
        <f aca="false">J26+K26</f>
        <v>85247.99</v>
      </c>
      <c r="M26" s="2" t="n">
        <f aca="false">ROUND(E26*Assumptions!$B$7/100,2)</f>
        <v>27086.4</v>
      </c>
      <c r="N26" s="2" t="n">
        <f aca="false">ROUND(E26*Assumptions!$B$8/100,2)</f>
        <v>65007.36</v>
      </c>
      <c r="O26" s="2" t="n">
        <f aca="false">ROUND(E26*Assumptions!$B$17/100*C26/12,2)</f>
        <v>4062.96</v>
      </c>
      <c r="P26" s="2" t="n">
        <f aca="false">C26*Assumptions!$B$9/100</f>
        <v>4.2</v>
      </c>
      <c r="Q26" s="2" t="n">
        <f aca="false">C26-P26</f>
        <v>1.8</v>
      </c>
      <c r="R26" s="2" t="n">
        <f aca="false">S1!$B$2+S1!$B$32+E26+M26+N26</f>
        <v>1065521.76</v>
      </c>
      <c r="S26" s="2" t="n">
        <f aca="false">ROUND(R26*Assumptions!$B$10/100,2)</f>
        <v>852417.41</v>
      </c>
      <c r="T26" s="2" t="n">
        <f aca="false">ROUND((S1!$B$2+S1!$B$32+N26)*Assumptions!$B$10/100*Assumptions!$B$11/100/12*C26,2)</f>
        <v>19868.29</v>
      </c>
      <c r="U26" s="2" t="n">
        <f aca="false">ROUND((E26+M26)*Assumptions!$B$10/100*Assumptions!$B$11/100/12*(P26/2+Q26),2)</f>
        <v>14789.17</v>
      </c>
      <c r="V26" s="2" t="n">
        <f aca="false">T26+U26</f>
        <v>34657.46</v>
      </c>
      <c r="W26" s="2" t="n">
        <f aca="false">ROUND(S26*Assumptions!$B$12/100,2)</f>
        <v>17048.35</v>
      </c>
      <c r="X26" s="2" t="n">
        <f aca="false">Assumptions!$B$13*Assumptions!$B$14</f>
        <v>1000</v>
      </c>
      <c r="Y26" s="2" t="n">
        <f aca="false">V26+W26+X26</f>
        <v>52705.81</v>
      </c>
      <c r="Z26" s="2" t="n">
        <f aca="false">ROUND(S1!$B$2*Assumptions!$B$16/100*C26/12,2)</f>
        <v>4676.46</v>
      </c>
      <c r="AA26" s="2" t="n">
        <f aca="false">Z26+O26</f>
        <v>8739.42</v>
      </c>
      <c r="AB26" s="2" t="n">
        <f aca="false">F26-L26-S26</f>
        <v>278749.58</v>
      </c>
    </row>
    <row r="27" customFormat="false" ht="15" hidden="false" customHeight="false" outlineLevel="0" collapsed="false">
      <c r="A27" s="0" t="n">
        <v>0</v>
      </c>
      <c r="B27" s="0" t="n">
        <v>-10</v>
      </c>
      <c r="C27" s="0" t="n">
        <v>9</v>
      </c>
      <c r="D27" s="2" t="n">
        <f aca="false">ROUND(S1!$B$30*(1+A27/100),2)</f>
        <v>1420799.85</v>
      </c>
      <c r="E27" s="2" t="n">
        <f aca="false">ROUND(S1!$B$33*(1+B27/100),2)</f>
        <v>541728</v>
      </c>
      <c r="F27" s="2" t="n">
        <f aca="false">S1!$B$2+S1!$B$31+S1!$B$32+E27+M27+N27+Y27+AA27+L27</f>
        <v>1238113.43</v>
      </c>
      <c r="G27" s="2" t="n">
        <f aca="false">D27-F27</f>
        <v>182686.42</v>
      </c>
      <c r="H27" s="3" t="n">
        <f aca="false">ROUND(G27/D27,4)</f>
        <v>0.1286</v>
      </c>
      <c r="I27" s="3" t="n">
        <f aca="false">IF(AB27&lt;=0,"",ROUND(G27/AB27,4))</f>
        <v>0.608</v>
      </c>
      <c r="J27" s="2" t="n">
        <f aca="false">ROUND(D27*Assumptions!$B$18/100,2)</f>
        <v>71039.99</v>
      </c>
      <c r="K27" s="2" t="n">
        <f aca="false">ROUND(D27*Assumptions!$B$19/100,2)</f>
        <v>14208</v>
      </c>
      <c r="L27" s="2" t="n">
        <f aca="false">J27+K27</f>
        <v>85247.99</v>
      </c>
      <c r="M27" s="2" t="n">
        <f aca="false">ROUND(E27*Assumptions!$B$7/100,2)</f>
        <v>27086.4</v>
      </c>
      <c r="N27" s="2" t="n">
        <f aca="false">ROUND(E27*Assumptions!$B$8/100,2)</f>
        <v>65007.36</v>
      </c>
      <c r="O27" s="2" t="n">
        <f aca="false">ROUND(E27*Assumptions!$B$17/100*C27/12,2)</f>
        <v>6094.44</v>
      </c>
      <c r="P27" s="2" t="n">
        <f aca="false">C27*Assumptions!$B$9/100</f>
        <v>6.3</v>
      </c>
      <c r="Q27" s="2" t="n">
        <f aca="false">C27-P27</f>
        <v>2.7</v>
      </c>
      <c r="R27" s="2" t="n">
        <f aca="false">S1!$B$2+S1!$B$32+E27+M27+N27</f>
        <v>1065521.76</v>
      </c>
      <c r="S27" s="2" t="n">
        <f aca="false">ROUND(R27*Assumptions!$B$10/100,2)</f>
        <v>852417.41</v>
      </c>
      <c r="T27" s="2" t="n">
        <f aca="false">ROUND((S1!$B$2+S1!$B$32+N27)*Assumptions!$B$10/100*Assumptions!$B$11/100/12*C27,2)</f>
        <v>29802.44</v>
      </c>
      <c r="U27" s="2" t="n">
        <f aca="false">ROUND((E27+M27)*Assumptions!$B$10/100*Assumptions!$B$11/100/12*(P27/2+Q27),2)</f>
        <v>22183.76</v>
      </c>
      <c r="V27" s="2" t="n">
        <f aca="false">T27+U27</f>
        <v>51986.2</v>
      </c>
      <c r="W27" s="2" t="n">
        <f aca="false">ROUND(S27*Assumptions!$B$12/100,2)</f>
        <v>17048.35</v>
      </c>
      <c r="X27" s="2" t="n">
        <f aca="false">Assumptions!$B$13*Assumptions!$B$14</f>
        <v>1000</v>
      </c>
      <c r="Y27" s="2" t="n">
        <f aca="false">V27+W27+X27</f>
        <v>70034.55</v>
      </c>
      <c r="Z27" s="2" t="n">
        <f aca="false">ROUND(S1!$B$2*Assumptions!$B$16/100*C27/12,2)</f>
        <v>7014.69</v>
      </c>
      <c r="AA27" s="2" t="n">
        <f aca="false">Z27+O27</f>
        <v>13109.13</v>
      </c>
      <c r="AB27" s="2" t="n">
        <f aca="false">F27-L27-S27</f>
        <v>300448.03</v>
      </c>
    </row>
    <row r="28" customFormat="false" ht="15" hidden="false" customHeight="false" outlineLevel="0" collapsed="false">
      <c r="A28" s="0" t="n">
        <v>0</v>
      </c>
      <c r="B28" s="0" t="n">
        <v>-10</v>
      </c>
      <c r="C28" s="0" t="n">
        <v>12</v>
      </c>
      <c r="D28" s="2" t="n">
        <f aca="false">ROUND(S1!$B$30*(1+A28/100),2)</f>
        <v>1420799.85</v>
      </c>
      <c r="E28" s="2" t="n">
        <f aca="false">ROUND(S1!$B$33*(1+B28/100),2)</f>
        <v>541728</v>
      </c>
      <c r="F28" s="2" t="n">
        <f aca="false">S1!$B$2+S1!$B$31+S1!$B$32+E28+M28+N28+Y28+AA28+L28</f>
        <v>1259811.88</v>
      </c>
      <c r="G28" s="2" t="n">
        <f aca="false">D28-F28</f>
        <v>160987.97</v>
      </c>
      <c r="H28" s="3" t="n">
        <f aca="false">ROUND(G28/D28,4)</f>
        <v>0.1133</v>
      </c>
      <c r="I28" s="3" t="n">
        <f aca="false">IF(AB28&lt;=0,"",ROUND(G28/AB28,4))</f>
        <v>0.4997</v>
      </c>
      <c r="J28" s="2" t="n">
        <f aca="false">ROUND(D28*Assumptions!$B$18/100,2)</f>
        <v>71039.99</v>
      </c>
      <c r="K28" s="2" t="n">
        <f aca="false">ROUND(D28*Assumptions!$B$19/100,2)</f>
        <v>14208</v>
      </c>
      <c r="L28" s="2" t="n">
        <f aca="false">J28+K28</f>
        <v>85247.99</v>
      </c>
      <c r="M28" s="2" t="n">
        <f aca="false">ROUND(E28*Assumptions!$B$7/100,2)</f>
        <v>27086.4</v>
      </c>
      <c r="N28" s="2" t="n">
        <f aca="false">ROUND(E28*Assumptions!$B$8/100,2)</f>
        <v>65007.36</v>
      </c>
      <c r="O28" s="2" t="n">
        <f aca="false">ROUND(E28*Assumptions!$B$17/100*C28/12,2)</f>
        <v>8125.92</v>
      </c>
      <c r="P28" s="2" t="n">
        <f aca="false">C28*Assumptions!$B$9/100</f>
        <v>8.4</v>
      </c>
      <c r="Q28" s="2" t="n">
        <f aca="false">C28-P28</f>
        <v>3.6</v>
      </c>
      <c r="R28" s="2" t="n">
        <f aca="false">S1!$B$2+S1!$B$32+E28+M28+N28</f>
        <v>1065521.76</v>
      </c>
      <c r="S28" s="2" t="n">
        <f aca="false">ROUND(R28*Assumptions!$B$10/100,2)</f>
        <v>852417.41</v>
      </c>
      <c r="T28" s="2" t="n">
        <f aca="false">ROUND((S1!$B$2+S1!$B$32+N28)*Assumptions!$B$10/100*Assumptions!$B$11/100/12*C28,2)</f>
        <v>39736.59</v>
      </c>
      <c r="U28" s="2" t="n">
        <f aca="false">ROUND((E28+M28)*Assumptions!$B$10/100*Assumptions!$B$11/100/12*(P28/2+Q28),2)</f>
        <v>29578.35</v>
      </c>
      <c r="V28" s="2" t="n">
        <f aca="false">T28+U28</f>
        <v>69314.94</v>
      </c>
      <c r="W28" s="2" t="n">
        <f aca="false">ROUND(S28*Assumptions!$B$12/100,2)</f>
        <v>17048.35</v>
      </c>
      <c r="X28" s="2" t="n">
        <f aca="false">Assumptions!$B$13*Assumptions!$B$14</f>
        <v>1000</v>
      </c>
      <c r="Y28" s="2" t="n">
        <f aca="false">V28+W28+X28</f>
        <v>87363.29</v>
      </c>
      <c r="Z28" s="2" t="n">
        <f aca="false">ROUND(S1!$B$2*Assumptions!$B$16/100*C28/12,2)</f>
        <v>9352.92</v>
      </c>
      <c r="AA28" s="2" t="n">
        <f aca="false">Z28+O28</f>
        <v>17478.84</v>
      </c>
      <c r="AB28" s="2" t="n">
        <f aca="false">F28-L28-S28</f>
        <v>322146.48</v>
      </c>
    </row>
    <row r="29" customFormat="false" ht="15" hidden="false" customHeight="false" outlineLevel="0" collapsed="false">
      <c r="A29" s="0" t="n">
        <v>0</v>
      </c>
      <c r="B29" s="0" t="n">
        <v>0</v>
      </c>
      <c r="C29" s="0" t="n">
        <v>6</v>
      </c>
      <c r="D29" s="2" t="n">
        <f aca="false">ROUND(S1!$B$30*(1+A29/100),2)</f>
        <v>1420799.85</v>
      </c>
      <c r="E29" s="2" t="n">
        <f aca="false">ROUND(S1!$B$33*(1+B29/100),2)</f>
        <v>601920</v>
      </c>
      <c r="F29" s="2" t="n">
        <f aca="false">S1!$B$2+S1!$B$31+S1!$B$32+E29+M29+N29+Y29+AA29+L29</f>
        <v>1290350.03</v>
      </c>
      <c r="G29" s="2" t="n">
        <f aca="false">D29-F29</f>
        <v>130449.82</v>
      </c>
      <c r="H29" s="3" t="n">
        <f aca="false">ROUND(G29/D29,4)</f>
        <v>0.0918</v>
      </c>
      <c r="I29" s="3" t="n">
        <f aca="false">IF(AB29&lt;=0,"",ROUND(G29/AB29,4))</f>
        <v>0.4402</v>
      </c>
      <c r="J29" s="2" t="n">
        <f aca="false">ROUND(D29*Assumptions!$B$18/100,2)</f>
        <v>71039.99</v>
      </c>
      <c r="K29" s="2" t="n">
        <f aca="false">ROUND(D29*Assumptions!$B$19/100,2)</f>
        <v>14208</v>
      </c>
      <c r="L29" s="2" t="n">
        <f aca="false">J29+K29</f>
        <v>85247.99</v>
      </c>
      <c r="M29" s="2" t="n">
        <f aca="false">ROUND(E29*Assumptions!$B$7/100,2)</f>
        <v>30096</v>
      </c>
      <c r="N29" s="2" t="n">
        <f aca="false">ROUND(E29*Assumptions!$B$8/100,2)</f>
        <v>72230.4</v>
      </c>
      <c r="O29" s="2" t="n">
        <f aca="false">ROUND(E29*Assumptions!$B$17/100*C29/12,2)</f>
        <v>4514.4</v>
      </c>
      <c r="P29" s="2" t="n">
        <f aca="false">C29*Assumptions!$B$9/100</f>
        <v>4.2</v>
      </c>
      <c r="Q29" s="2" t="n">
        <f aca="false">C29-P29</f>
        <v>1.8</v>
      </c>
      <c r="R29" s="2" t="n">
        <f aca="false">S1!$B$2+S1!$B$32+E29+M29+N29</f>
        <v>1135946.4</v>
      </c>
      <c r="S29" s="2" t="n">
        <f aca="false">ROUND(R29*Assumptions!$B$10/100,2)</f>
        <v>908757.12</v>
      </c>
      <c r="T29" s="2" t="n">
        <f aca="false">ROUND((S1!$B$2+S1!$B$32+N29)*Assumptions!$B$10/100*Assumptions!$B$11/100/12*C29,2)</f>
        <v>20157.22</v>
      </c>
      <c r="U29" s="2" t="n">
        <f aca="false">ROUND((E29+M29)*Assumptions!$B$10/100*Assumptions!$B$11/100/12*(P29/2+Q29),2)</f>
        <v>16432.42</v>
      </c>
      <c r="V29" s="2" t="n">
        <f aca="false">T29+U29</f>
        <v>36589.64</v>
      </c>
      <c r="W29" s="2" t="n">
        <f aca="false">ROUND(S29*Assumptions!$B$12/100,2)</f>
        <v>18175.14</v>
      </c>
      <c r="X29" s="2" t="n">
        <f aca="false">Assumptions!$B$13*Assumptions!$B$14</f>
        <v>1000</v>
      </c>
      <c r="Y29" s="2" t="n">
        <f aca="false">V29+W29+X29</f>
        <v>55764.78</v>
      </c>
      <c r="Z29" s="2" t="n">
        <f aca="false">ROUND(S1!$B$2*Assumptions!$B$16/100*C29/12,2)</f>
        <v>4676.46</v>
      </c>
      <c r="AA29" s="2" t="n">
        <f aca="false">Z29+O29</f>
        <v>9190.86</v>
      </c>
      <c r="AB29" s="2" t="n">
        <f aca="false">F29-L29-S29</f>
        <v>296344.92</v>
      </c>
    </row>
    <row r="30" customFormat="false" ht="15" hidden="false" customHeight="false" outlineLevel="0" collapsed="false">
      <c r="A30" s="0" t="n">
        <v>0</v>
      </c>
      <c r="B30" s="0" t="n">
        <v>0</v>
      </c>
      <c r="C30" s="0" t="n">
        <v>9</v>
      </c>
      <c r="D30" s="2" t="n">
        <f aca="false">ROUND(S1!$B$30*(1+A30/100),2)</f>
        <v>1420799.85</v>
      </c>
      <c r="E30" s="2" t="n">
        <f aca="false">ROUND(S1!$B$33*(1+B30/100),2)</f>
        <v>601920</v>
      </c>
      <c r="F30" s="2" t="n">
        <f aca="false">S1!$B$2+S1!$B$31+S1!$B$32+E30+M30+N30+Y30+AA30+L30</f>
        <v>1313240.26</v>
      </c>
      <c r="G30" s="2" t="n">
        <f aca="false">D30-F30</f>
        <v>107559.59</v>
      </c>
      <c r="H30" s="3" t="n">
        <f aca="false">ROUND(G30/D30,4)</f>
        <v>0.0757</v>
      </c>
      <c r="I30" s="3" t="n">
        <f aca="false">IF(AB30&lt;=0,"",ROUND(G30/AB30,4))</f>
        <v>0.3369</v>
      </c>
      <c r="J30" s="2" t="n">
        <f aca="false">ROUND(D30*Assumptions!$B$18/100,2)</f>
        <v>71039.99</v>
      </c>
      <c r="K30" s="2" t="n">
        <f aca="false">ROUND(D30*Assumptions!$B$19/100,2)</f>
        <v>14208</v>
      </c>
      <c r="L30" s="2" t="n">
        <f aca="false">J30+K30</f>
        <v>85247.99</v>
      </c>
      <c r="M30" s="2" t="n">
        <f aca="false">ROUND(E30*Assumptions!$B$7/100,2)</f>
        <v>30096</v>
      </c>
      <c r="N30" s="2" t="n">
        <f aca="false">ROUND(E30*Assumptions!$B$8/100,2)</f>
        <v>72230.4</v>
      </c>
      <c r="O30" s="2" t="n">
        <f aca="false">ROUND(E30*Assumptions!$B$17/100*C30/12,2)</f>
        <v>6771.6</v>
      </c>
      <c r="P30" s="2" t="n">
        <f aca="false">C30*Assumptions!$B$9/100</f>
        <v>6.3</v>
      </c>
      <c r="Q30" s="2" t="n">
        <f aca="false">C30-P30</f>
        <v>2.7</v>
      </c>
      <c r="R30" s="2" t="n">
        <f aca="false">S1!$B$2+S1!$B$32+E30+M30+N30</f>
        <v>1135946.4</v>
      </c>
      <c r="S30" s="2" t="n">
        <f aca="false">ROUND(R30*Assumptions!$B$10/100,2)</f>
        <v>908757.12</v>
      </c>
      <c r="T30" s="2" t="n">
        <f aca="false">ROUND((S1!$B$2+S1!$B$32+N30)*Assumptions!$B$10/100*Assumptions!$B$11/100/12*C30,2)</f>
        <v>30235.82</v>
      </c>
      <c r="U30" s="2" t="n">
        <f aca="false">ROUND((E30+M30)*Assumptions!$B$10/100*Assumptions!$B$11/100/12*(P30/2+Q30),2)</f>
        <v>24648.62</v>
      </c>
      <c r="V30" s="2" t="n">
        <f aca="false">T30+U30</f>
        <v>54884.44</v>
      </c>
      <c r="W30" s="2" t="n">
        <f aca="false">ROUND(S30*Assumptions!$B$12/100,2)</f>
        <v>18175.14</v>
      </c>
      <c r="X30" s="2" t="n">
        <f aca="false">Assumptions!$B$13*Assumptions!$B$14</f>
        <v>1000</v>
      </c>
      <c r="Y30" s="2" t="n">
        <f aca="false">V30+W30+X30</f>
        <v>74059.58</v>
      </c>
      <c r="Z30" s="2" t="n">
        <f aca="false">ROUND(S1!$B$2*Assumptions!$B$16/100*C30/12,2)</f>
        <v>7014.69</v>
      </c>
      <c r="AA30" s="2" t="n">
        <f aca="false">Z30+O30</f>
        <v>13786.29</v>
      </c>
      <c r="AB30" s="2" t="n">
        <f aca="false">F30-L30-S30</f>
        <v>319235.15</v>
      </c>
    </row>
    <row r="31" customFormat="false" ht="15" hidden="false" customHeight="false" outlineLevel="0" collapsed="false">
      <c r="A31" s="0" t="n">
        <v>0</v>
      </c>
      <c r="B31" s="0" t="n">
        <v>0</v>
      </c>
      <c r="C31" s="0" t="n">
        <v>12</v>
      </c>
      <c r="D31" s="2" t="n">
        <f aca="false">ROUND(S1!$B$30*(1+A31/100),2)</f>
        <v>1420799.85</v>
      </c>
      <c r="E31" s="2" t="n">
        <f aca="false">ROUND(S1!$B$33*(1+B31/100),2)</f>
        <v>601920</v>
      </c>
      <c r="F31" s="2" t="n">
        <f aca="false">S1!$B$2+S1!$B$31+S1!$B$32+E31+M31+N31+Y31+AA31+L31</f>
        <v>1336130.51</v>
      </c>
      <c r="G31" s="2" t="n">
        <f aca="false">D31-F31</f>
        <v>84669.3400000003</v>
      </c>
      <c r="H31" s="3" t="n">
        <f aca="false">ROUND(G31/D31,4)</f>
        <v>0.0596</v>
      </c>
      <c r="I31" s="3" t="n">
        <f aca="false">IF(AB31&lt;=0,"",ROUND(G31/AB31,4))</f>
        <v>0.2475</v>
      </c>
      <c r="J31" s="2" t="n">
        <f aca="false">ROUND(D31*Assumptions!$B$18/100,2)</f>
        <v>71039.99</v>
      </c>
      <c r="K31" s="2" t="n">
        <f aca="false">ROUND(D31*Assumptions!$B$19/100,2)</f>
        <v>14208</v>
      </c>
      <c r="L31" s="2" t="n">
        <f aca="false">J31+K31</f>
        <v>85247.99</v>
      </c>
      <c r="M31" s="2" t="n">
        <f aca="false">ROUND(E31*Assumptions!$B$7/100,2)</f>
        <v>30096</v>
      </c>
      <c r="N31" s="2" t="n">
        <f aca="false">ROUND(E31*Assumptions!$B$8/100,2)</f>
        <v>72230.4</v>
      </c>
      <c r="O31" s="2" t="n">
        <f aca="false">ROUND(E31*Assumptions!$B$17/100*C31/12,2)</f>
        <v>9028.8</v>
      </c>
      <c r="P31" s="2" t="n">
        <f aca="false">C31*Assumptions!$B$9/100</f>
        <v>8.4</v>
      </c>
      <c r="Q31" s="2" t="n">
        <f aca="false">C31-P31</f>
        <v>3.6</v>
      </c>
      <c r="R31" s="2" t="n">
        <f aca="false">S1!$B$2+S1!$B$32+E31+M31+N31</f>
        <v>1135946.4</v>
      </c>
      <c r="S31" s="2" t="n">
        <f aca="false">ROUND(R31*Assumptions!$B$10/100,2)</f>
        <v>908757.12</v>
      </c>
      <c r="T31" s="2" t="n">
        <f aca="false">ROUND((S1!$B$2+S1!$B$32+N31)*Assumptions!$B$10/100*Assumptions!$B$11/100/12*C31,2)</f>
        <v>40314.43</v>
      </c>
      <c r="U31" s="2" t="n">
        <f aca="false">ROUND((E31+M31)*Assumptions!$B$10/100*Assumptions!$B$11/100/12*(P31/2+Q31),2)</f>
        <v>32864.83</v>
      </c>
      <c r="V31" s="2" t="n">
        <f aca="false">T31+U31</f>
        <v>73179.26</v>
      </c>
      <c r="W31" s="2" t="n">
        <f aca="false">ROUND(S31*Assumptions!$B$12/100,2)</f>
        <v>18175.14</v>
      </c>
      <c r="X31" s="2" t="n">
        <f aca="false">Assumptions!$B$13*Assumptions!$B$14</f>
        <v>1000</v>
      </c>
      <c r="Y31" s="2" t="n">
        <f aca="false">V31+W31+X31</f>
        <v>92354.4</v>
      </c>
      <c r="Z31" s="2" t="n">
        <f aca="false">ROUND(S1!$B$2*Assumptions!$B$16/100*C31/12,2)</f>
        <v>9352.92</v>
      </c>
      <c r="AA31" s="2" t="n">
        <f aca="false">Z31+O31</f>
        <v>18381.72</v>
      </c>
      <c r="AB31" s="2" t="n">
        <f aca="false">F31-L31-S31</f>
        <v>342125.4</v>
      </c>
    </row>
    <row r="32" customFormat="false" ht="15" hidden="false" customHeight="false" outlineLevel="0" collapsed="false">
      <c r="A32" s="0" t="n">
        <v>0</v>
      </c>
      <c r="B32" s="0" t="n">
        <v>10</v>
      </c>
      <c r="C32" s="0" t="n">
        <v>6</v>
      </c>
      <c r="D32" s="2" t="n">
        <f aca="false">ROUND(S1!$B$30*(1+A32/100),2)</f>
        <v>1420799.85</v>
      </c>
      <c r="E32" s="2" t="n">
        <f aca="false">ROUND(S1!$B$33*(1+B32/100),2)</f>
        <v>662112</v>
      </c>
      <c r="F32" s="2" t="n">
        <f aca="false">S1!$B$2+S1!$B$31+S1!$B$32+E32+M32+N32+Y32+AA32+L32</f>
        <v>1364285.07</v>
      </c>
      <c r="G32" s="2" t="n">
        <f aca="false">D32-F32</f>
        <v>56514.78</v>
      </c>
      <c r="H32" s="3" t="n">
        <f aca="false">ROUND(G32/D32,4)</f>
        <v>0.0398</v>
      </c>
      <c r="I32" s="3" t="n">
        <f aca="false">IF(AB32&lt;=0,"",ROUND(G32/AB32,4))</f>
        <v>0.18</v>
      </c>
      <c r="J32" s="2" t="n">
        <f aca="false">ROUND(D32*Assumptions!$B$18/100,2)</f>
        <v>71039.99</v>
      </c>
      <c r="K32" s="2" t="n">
        <f aca="false">ROUND(D32*Assumptions!$B$19/100,2)</f>
        <v>14208</v>
      </c>
      <c r="L32" s="2" t="n">
        <f aca="false">J32+K32</f>
        <v>85247.99</v>
      </c>
      <c r="M32" s="2" t="n">
        <f aca="false">ROUND(E32*Assumptions!$B$7/100,2)</f>
        <v>33105.6</v>
      </c>
      <c r="N32" s="2" t="n">
        <f aca="false">ROUND(E32*Assumptions!$B$8/100,2)</f>
        <v>79453.44</v>
      </c>
      <c r="O32" s="2" t="n">
        <f aca="false">ROUND(E32*Assumptions!$B$17/100*C32/12,2)</f>
        <v>4965.84</v>
      </c>
      <c r="P32" s="2" t="n">
        <f aca="false">C32*Assumptions!$B$9/100</f>
        <v>4.2</v>
      </c>
      <c r="Q32" s="2" t="n">
        <f aca="false">C32-P32</f>
        <v>1.8</v>
      </c>
      <c r="R32" s="2" t="n">
        <f aca="false">S1!$B$2+S1!$B$32+E32+M32+N32</f>
        <v>1206371.04</v>
      </c>
      <c r="S32" s="2" t="n">
        <f aca="false">ROUND(R32*Assumptions!$B$10/100,2)</f>
        <v>965096.83</v>
      </c>
      <c r="T32" s="2" t="n">
        <f aca="false">ROUND((S1!$B$2+S1!$B$32+N32)*Assumptions!$B$10/100*Assumptions!$B$11/100/12*C32,2)</f>
        <v>20446.14</v>
      </c>
      <c r="U32" s="2" t="n">
        <f aca="false">ROUND((E32+M32)*Assumptions!$B$10/100*Assumptions!$B$11/100/12*(P32/2+Q32),2)</f>
        <v>18075.66</v>
      </c>
      <c r="V32" s="2" t="n">
        <f aca="false">T32+U32</f>
        <v>38521.8</v>
      </c>
      <c r="W32" s="2" t="n">
        <f aca="false">ROUND(S32*Assumptions!$B$12/100,2)</f>
        <v>19301.94</v>
      </c>
      <c r="X32" s="2" t="n">
        <f aca="false">Assumptions!$B$13*Assumptions!$B$14</f>
        <v>1000</v>
      </c>
      <c r="Y32" s="2" t="n">
        <f aca="false">V32+W32+X32</f>
        <v>58823.74</v>
      </c>
      <c r="Z32" s="2" t="n">
        <f aca="false">ROUND(S1!$B$2*Assumptions!$B$16/100*C32/12,2)</f>
        <v>4676.46</v>
      </c>
      <c r="AA32" s="2" t="n">
        <f aca="false">Z32+O32</f>
        <v>9642.3</v>
      </c>
      <c r="AB32" s="2" t="n">
        <f aca="false">F32-L32-S32</f>
        <v>313940.25</v>
      </c>
    </row>
    <row r="33" customFormat="false" ht="15" hidden="false" customHeight="false" outlineLevel="0" collapsed="false">
      <c r="A33" s="0" t="n">
        <v>0</v>
      </c>
      <c r="B33" s="0" t="n">
        <v>10</v>
      </c>
      <c r="C33" s="0" t="n">
        <v>9</v>
      </c>
      <c r="D33" s="2" t="n">
        <f aca="false">ROUND(S1!$B$30*(1+A33/100),2)</f>
        <v>1420799.85</v>
      </c>
      <c r="E33" s="2" t="n">
        <f aca="false">ROUND(S1!$B$33*(1+B33/100),2)</f>
        <v>662112</v>
      </c>
      <c r="F33" s="2" t="n">
        <f aca="false">S1!$B$2+S1!$B$31+S1!$B$32+E33+M33+N33+Y33+AA33+L33</f>
        <v>1388367.12</v>
      </c>
      <c r="G33" s="2" t="n">
        <f aca="false">D33-F33</f>
        <v>32432.7300000002</v>
      </c>
      <c r="H33" s="3" t="n">
        <f aca="false">ROUND(G33/D33,4)</f>
        <v>0.0228</v>
      </c>
      <c r="I33" s="3" t="n">
        <f aca="false">IF(AB33&lt;=0,"",ROUND(G33/AB33,4))</f>
        <v>0.0959</v>
      </c>
      <c r="J33" s="2" t="n">
        <f aca="false">ROUND(D33*Assumptions!$B$18/100,2)</f>
        <v>71039.99</v>
      </c>
      <c r="K33" s="2" t="n">
        <f aca="false">ROUND(D33*Assumptions!$B$19/100,2)</f>
        <v>14208</v>
      </c>
      <c r="L33" s="2" t="n">
        <f aca="false">J33+K33</f>
        <v>85247.99</v>
      </c>
      <c r="M33" s="2" t="n">
        <f aca="false">ROUND(E33*Assumptions!$B$7/100,2)</f>
        <v>33105.6</v>
      </c>
      <c r="N33" s="2" t="n">
        <f aca="false">ROUND(E33*Assumptions!$B$8/100,2)</f>
        <v>79453.44</v>
      </c>
      <c r="O33" s="2" t="n">
        <f aca="false">ROUND(E33*Assumptions!$B$17/100*C33/12,2)</f>
        <v>7448.76</v>
      </c>
      <c r="P33" s="2" t="n">
        <f aca="false">C33*Assumptions!$B$9/100</f>
        <v>6.3</v>
      </c>
      <c r="Q33" s="2" t="n">
        <f aca="false">C33-P33</f>
        <v>2.7</v>
      </c>
      <c r="R33" s="2" t="n">
        <f aca="false">S1!$B$2+S1!$B$32+E33+M33+N33</f>
        <v>1206371.04</v>
      </c>
      <c r="S33" s="2" t="n">
        <f aca="false">ROUND(R33*Assumptions!$B$10/100,2)</f>
        <v>965096.83</v>
      </c>
      <c r="T33" s="2" t="n">
        <f aca="false">ROUND((S1!$B$2+S1!$B$32+N33)*Assumptions!$B$10/100*Assumptions!$B$11/100/12*C33,2)</f>
        <v>30669.21</v>
      </c>
      <c r="U33" s="2" t="n">
        <f aca="false">ROUND((E33+M33)*Assumptions!$B$10/100*Assumptions!$B$11/100/12*(P33/2+Q33),2)</f>
        <v>27113.49</v>
      </c>
      <c r="V33" s="2" t="n">
        <f aca="false">T33+U33</f>
        <v>57782.7</v>
      </c>
      <c r="W33" s="2" t="n">
        <f aca="false">ROUND(S33*Assumptions!$B$12/100,2)</f>
        <v>19301.94</v>
      </c>
      <c r="X33" s="2" t="n">
        <f aca="false">Assumptions!$B$13*Assumptions!$B$14</f>
        <v>1000</v>
      </c>
      <c r="Y33" s="2" t="n">
        <f aca="false">V33+W33+X33</f>
        <v>78084.64</v>
      </c>
      <c r="Z33" s="2" t="n">
        <f aca="false">ROUND(S1!$B$2*Assumptions!$B$16/100*C33/12,2)</f>
        <v>7014.69</v>
      </c>
      <c r="AA33" s="2" t="n">
        <f aca="false">Z33+O33</f>
        <v>14463.45</v>
      </c>
      <c r="AB33" s="2" t="n">
        <f aca="false">F33-L33-S33</f>
        <v>338022.3</v>
      </c>
    </row>
    <row r="34" customFormat="false" ht="15" hidden="false" customHeight="false" outlineLevel="0" collapsed="false">
      <c r="A34" s="0" t="n">
        <v>0</v>
      </c>
      <c r="B34" s="0" t="n">
        <v>10</v>
      </c>
      <c r="C34" s="0" t="n">
        <v>12</v>
      </c>
      <c r="D34" s="2" t="n">
        <f aca="false">ROUND(S1!$B$30*(1+A34/100),2)</f>
        <v>1420799.85</v>
      </c>
      <c r="E34" s="2" t="n">
        <f aca="false">ROUND(S1!$B$33*(1+B34/100),2)</f>
        <v>662112</v>
      </c>
      <c r="F34" s="2" t="n">
        <f aca="false">S1!$B$2+S1!$B$31+S1!$B$32+E34+M34+N34+Y34+AA34+L34</f>
        <v>1412449.17</v>
      </c>
      <c r="G34" s="2" t="n">
        <f aca="false">D34-F34</f>
        <v>8350.67999999994</v>
      </c>
      <c r="H34" s="3" t="n">
        <f aca="false">ROUND(G34/D34,4)</f>
        <v>0.0059</v>
      </c>
      <c r="I34" s="3" t="n">
        <f aca="false">IF(AB34&lt;=0,"",ROUND(G34/AB34,4))</f>
        <v>0.0231</v>
      </c>
      <c r="J34" s="2" t="n">
        <f aca="false">ROUND(D34*Assumptions!$B$18/100,2)</f>
        <v>71039.99</v>
      </c>
      <c r="K34" s="2" t="n">
        <f aca="false">ROUND(D34*Assumptions!$B$19/100,2)</f>
        <v>14208</v>
      </c>
      <c r="L34" s="2" t="n">
        <f aca="false">J34+K34</f>
        <v>85247.99</v>
      </c>
      <c r="M34" s="2" t="n">
        <f aca="false">ROUND(E34*Assumptions!$B$7/100,2)</f>
        <v>33105.6</v>
      </c>
      <c r="N34" s="2" t="n">
        <f aca="false">ROUND(E34*Assumptions!$B$8/100,2)</f>
        <v>79453.44</v>
      </c>
      <c r="O34" s="2" t="n">
        <f aca="false">ROUND(E34*Assumptions!$B$17/100*C34/12,2)</f>
        <v>9931.68</v>
      </c>
      <c r="P34" s="2" t="n">
        <f aca="false">C34*Assumptions!$B$9/100</f>
        <v>8.4</v>
      </c>
      <c r="Q34" s="2" t="n">
        <f aca="false">C34-P34</f>
        <v>3.6</v>
      </c>
      <c r="R34" s="2" t="n">
        <f aca="false">S1!$B$2+S1!$B$32+E34+M34+N34</f>
        <v>1206371.04</v>
      </c>
      <c r="S34" s="2" t="n">
        <f aca="false">ROUND(R34*Assumptions!$B$10/100,2)</f>
        <v>965096.83</v>
      </c>
      <c r="T34" s="2" t="n">
        <f aca="false">ROUND((S1!$B$2+S1!$B$32+N34)*Assumptions!$B$10/100*Assumptions!$B$11/100/12*C34,2)</f>
        <v>40892.28</v>
      </c>
      <c r="U34" s="2" t="n">
        <f aca="false">ROUND((E34+M34)*Assumptions!$B$10/100*Assumptions!$B$11/100/12*(P34/2+Q34),2)</f>
        <v>36151.32</v>
      </c>
      <c r="V34" s="2" t="n">
        <f aca="false">T34+U34</f>
        <v>77043.6</v>
      </c>
      <c r="W34" s="2" t="n">
        <f aca="false">ROUND(S34*Assumptions!$B$12/100,2)</f>
        <v>19301.94</v>
      </c>
      <c r="X34" s="2" t="n">
        <f aca="false">Assumptions!$B$13*Assumptions!$B$14</f>
        <v>1000</v>
      </c>
      <c r="Y34" s="2" t="n">
        <f aca="false">V34+W34+X34</f>
        <v>97345.54</v>
      </c>
      <c r="Z34" s="2" t="n">
        <f aca="false">ROUND(S1!$B$2*Assumptions!$B$16/100*C34/12,2)</f>
        <v>9352.92</v>
      </c>
      <c r="AA34" s="2" t="n">
        <f aca="false">Z34+O34</f>
        <v>19284.6</v>
      </c>
      <c r="AB34" s="2" t="n">
        <f aca="false">F34-L34-S34</f>
        <v>362104.35</v>
      </c>
    </row>
    <row r="35" customFormat="false" ht="15" hidden="false" customHeight="false" outlineLevel="0" collapsed="false">
      <c r="A35" s="0" t="n">
        <v>0</v>
      </c>
      <c r="B35" s="0" t="n">
        <v>20</v>
      </c>
      <c r="C35" s="0" t="n">
        <v>6</v>
      </c>
      <c r="D35" s="2" t="n">
        <f aca="false">ROUND(S1!$B$30*(1+A35/100),2)</f>
        <v>1420799.85</v>
      </c>
      <c r="E35" s="2" t="n">
        <f aca="false">ROUND(S1!$B$33*(1+B35/100),2)</f>
        <v>722304</v>
      </c>
      <c r="F35" s="2" t="n">
        <f aca="false">S1!$B$2+S1!$B$31+S1!$B$32+E35+M35+N35+Y35+AA35+L35</f>
        <v>1438220.1</v>
      </c>
      <c r="G35" s="2" t="n">
        <f aca="false">D35-F35</f>
        <v>-17420.2499999998</v>
      </c>
      <c r="H35" s="3" t="n">
        <f aca="false">ROUND(G35/D35,4)</f>
        <v>-0.0123</v>
      </c>
      <c r="I35" s="3" t="n">
        <f aca="false">IF(AB35&lt;=0,"",ROUND(G35/AB35,4))</f>
        <v>-0.0525</v>
      </c>
      <c r="J35" s="2" t="n">
        <f aca="false">ROUND(D35*Assumptions!$B$18/100,2)</f>
        <v>71039.99</v>
      </c>
      <c r="K35" s="2" t="n">
        <f aca="false">ROUND(D35*Assumptions!$B$19/100,2)</f>
        <v>14208</v>
      </c>
      <c r="L35" s="2" t="n">
        <f aca="false">J35+K35</f>
        <v>85247.99</v>
      </c>
      <c r="M35" s="2" t="n">
        <f aca="false">ROUND(E35*Assumptions!$B$7/100,2)</f>
        <v>36115.2</v>
      </c>
      <c r="N35" s="2" t="n">
        <f aca="false">ROUND(E35*Assumptions!$B$8/100,2)</f>
        <v>86676.48</v>
      </c>
      <c r="O35" s="2" t="n">
        <f aca="false">ROUND(E35*Assumptions!$B$17/100*C35/12,2)</f>
        <v>5417.28</v>
      </c>
      <c r="P35" s="2" t="n">
        <f aca="false">C35*Assumptions!$B$9/100</f>
        <v>4.2</v>
      </c>
      <c r="Q35" s="2" t="n">
        <f aca="false">C35-P35</f>
        <v>1.8</v>
      </c>
      <c r="R35" s="2" t="n">
        <f aca="false">S1!$B$2+S1!$B$32+E35+M35+N35</f>
        <v>1276795.68</v>
      </c>
      <c r="S35" s="2" t="n">
        <f aca="false">ROUND(R35*Assumptions!$B$10/100,2)</f>
        <v>1021436.54</v>
      </c>
      <c r="T35" s="2" t="n">
        <f aca="false">ROUND((S1!$B$2+S1!$B$32+N35)*Assumptions!$B$10/100*Assumptions!$B$11/100/12*C35,2)</f>
        <v>20735.06</v>
      </c>
      <c r="U35" s="2" t="n">
        <f aca="false">ROUND((E35+M35)*Assumptions!$B$10/100*Assumptions!$B$11/100/12*(P35/2+Q35),2)</f>
        <v>19718.9</v>
      </c>
      <c r="V35" s="2" t="n">
        <f aca="false">T35+U35</f>
        <v>40453.96</v>
      </c>
      <c r="W35" s="2" t="n">
        <f aca="false">ROUND(S35*Assumptions!$B$12/100,2)</f>
        <v>20428.73</v>
      </c>
      <c r="X35" s="2" t="n">
        <f aca="false">Assumptions!$B$13*Assumptions!$B$14</f>
        <v>1000</v>
      </c>
      <c r="Y35" s="2" t="n">
        <f aca="false">V35+W35+X35</f>
        <v>61882.69</v>
      </c>
      <c r="Z35" s="2" t="n">
        <f aca="false">ROUND(S1!$B$2*Assumptions!$B$16/100*C35/12,2)</f>
        <v>4676.46</v>
      </c>
      <c r="AA35" s="2" t="n">
        <f aca="false">Z35+O35</f>
        <v>10093.74</v>
      </c>
      <c r="AB35" s="2" t="n">
        <f aca="false">F35-L35-S35</f>
        <v>331535.57</v>
      </c>
    </row>
    <row r="36" customFormat="false" ht="15" hidden="false" customHeight="false" outlineLevel="0" collapsed="false">
      <c r="A36" s="0" t="n">
        <v>0</v>
      </c>
      <c r="B36" s="0" t="n">
        <v>20</v>
      </c>
      <c r="C36" s="0" t="n">
        <v>9</v>
      </c>
      <c r="D36" s="2" t="n">
        <f aca="false">ROUND(S1!$B$30*(1+A36/100),2)</f>
        <v>1420799.85</v>
      </c>
      <c r="E36" s="2" t="n">
        <f aca="false">ROUND(S1!$B$33*(1+B36/100),2)</f>
        <v>722304</v>
      </c>
      <c r="F36" s="2" t="n">
        <f aca="false">S1!$B$2+S1!$B$31+S1!$B$32+E36+M36+N36+Y36+AA36+L36</f>
        <v>1463493.95</v>
      </c>
      <c r="G36" s="2" t="n">
        <f aca="false">D36-F36</f>
        <v>-42694.0999999999</v>
      </c>
      <c r="H36" s="3" t="n">
        <f aca="false">ROUND(G36/D36,4)</f>
        <v>-0.03</v>
      </c>
      <c r="I36" s="3" t="n">
        <f aca="false">IF(AB36&lt;=0,"",ROUND(G36/AB36,4))</f>
        <v>-0.1197</v>
      </c>
      <c r="J36" s="2" t="n">
        <f aca="false">ROUND(D36*Assumptions!$B$18/100,2)</f>
        <v>71039.99</v>
      </c>
      <c r="K36" s="2" t="n">
        <f aca="false">ROUND(D36*Assumptions!$B$19/100,2)</f>
        <v>14208</v>
      </c>
      <c r="L36" s="2" t="n">
        <f aca="false">J36+K36</f>
        <v>85247.99</v>
      </c>
      <c r="M36" s="2" t="n">
        <f aca="false">ROUND(E36*Assumptions!$B$7/100,2)</f>
        <v>36115.2</v>
      </c>
      <c r="N36" s="2" t="n">
        <f aca="false">ROUND(E36*Assumptions!$B$8/100,2)</f>
        <v>86676.48</v>
      </c>
      <c r="O36" s="2" t="n">
        <f aca="false">ROUND(E36*Assumptions!$B$17/100*C36/12,2)</f>
        <v>8125.92</v>
      </c>
      <c r="P36" s="2" t="n">
        <f aca="false">C36*Assumptions!$B$9/100</f>
        <v>6.3</v>
      </c>
      <c r="Q36" s="2" t="n">
        <f aca="false">C36-P36</f>
        <v>2.7</v>
      </c>
      <c r="R36" s="2" t="n">
        <f aca="false">S1!$B$2+S1!$B$32+E36+M36+N36</f>
        <v>1276795.68</v>
      </c>
      <c r="S36" s="2" t="n">
        <f aca="false">ROUND(R36*Assumptions!$B$10/100,2)</f>
        <v>1021436.54</v>
      </c>
      <c r="T36" s="2" t="n">
        <f aca="false">ROUND((S1!$B$2+S1!$B$32+N36)*Assumptions!$B$10/100*Assumptions!$B$11/100/12*C36,2)</f>
        <v>31102.59</v>
      </c>
      <c r="U36" s="2" t="n">
        <f aca="false">ROUND((E36+M36)*Assumptions!$B$10/100*Assumptions!$B$11/100/12*(P36/2+Q36),2)</f>
        <v>29578.35</v>
      </c>
      <c r="V36" s="2" t="n">
        <f aca="false">T36+U36</f>
        <v>60680.94</v>
      </c>
      <c r="W36" s="2" t="n">
        <f aca="false">ROUND(S36*Assumptions!$B$12/100,2)</f>
        <v>20428.73</v>
      </c>
      <c r="X36" s="2" t="n">
        <f aca="false">Assumptions!$B$13*Assumptions!$B$14</f>
        <v>1000</v>
      </c>
      <c r="Y36" s="2" t="n">
        <f aca="false">V36+W36+X36</f>
        <v>82109.67</v>
      </c>
      <c r="Z36" s="2" t="n">
        <f aca="false">ROUND(S1!$B$2*Assumptions!$B$16/100*C36/12,2)</f>
        <v>7014.69</v>
      </c>
      <c r="AA36" s="2" t="n">
        <f aca="false">Z36+O36</f>
        <v>15140.61</v>
      </c>
      <c r="AB36" s="2" t="n">
        <f aca="false">F36-L36-S36</f>
        <v>356809.42</v>
      </c>
    </row>
    <row r="37" customFormat="false" ht="15" hidden="false" customHeight="false" outlineLevel="0" collapsed="false">
      <c r="A37" s="0" t="n">
        <v>0</v>
      </c>
      <c r="B37" s="0" t="n">
        <v>20</v>
      </c>
      <c r="C37" s="0" t="n">
        <v>12</v>
      </c>
      <c r="D37" s="2" t="n">
        <f aca="false">ROUND(S1!$B$30*(1+A37/100),2)</f>
        <v>1420799.85</v>
      </c>
      <c r="E37" s="2" t="n">
        <f aca="false">ROUND(S1!$B$33*(1+B37/100),2)</f>
        <v>722304</v>
      </c>
      <c r="F37" s="2" t="n">
        <f aca="false">S1!$B$2+S1!$B$31+S1!$B$32+E37+M37+N37+Y37+AA37+L37</f>
        <v>1488767.8</v>
      </c>
      <c r="G37" s="2" t="n">
        <f aca="false">D37-F37</f>
        <v>-67967.9499999997</v>
      </c>
      <c r="H37" s="3" t="n">
        <f aca="false">ROUND(G37/D37,4)</f>
        <v>-0.0478</v>
      </c>
      <c r="I37" s="3" t="n">
        <f aca="false">IF(AB37&lt;=0,"",ROUND(G37/AB37,4))</f>
        <v>-0.1779</v>
      </c>
      <c r="J37" s="2" t="n">
        <f aca="false">ROUND(D37*Assumptions!$B$18/100,2)</f>
        <v>71039.99</v>
      </c>
      <c r="K37" s="2" t="n">
        <f aca="false">ROUND(D37*Assumptions!$B$19/100,2)</f>
        <v>14208</v>
      </c>
      <c r="L37" s="2" t="n">
        <f aca="false">J37+K37</f>
        <v>85247.99</v>
      </c>
      <c r="M37" s="2" t="n">
        <f aca="false">ROUND(E37*Assumptions!$B$7/100,2)</f>
        <v>36115.2</v>
      </c>
      <c r="N37" s="2" t="n">
        <f aca="false">ROUND(E37*Assumptions!$B$8/100,2)</f>
        <v>86676.48</v>
      </c>
      <c r="O37" s="2" t="n">
        <f aca="false">ROUND(E37*Assumptions!$B$17/100*C37/12,2)</f>
        <v>10834.56</v>
      </c>
      <c r="P37" s="2" t="n">
        <f aca="false">C37*Assumptions!$B$9/100</f>
        <v>8.4</v>
      </c>
      <c r="Q37" s="2" t="n">
        <f aca="false">C37-P37</f>
        <v>3.6</v>
      </c>
      <c r="R37" s="2" t="n">
        <f aca="false">S1!$B$2+S1!$B$32+E37+M37+N37</f>
        <v>1276795.68</v>
      </c>
      <c r="S37" s="2" t="n">
        <f aca="false">ROUND(R37*Assumptions!$B$10/100,2)</f>
        <v>1021436.54</v>
      </c>
      <c r="T37" s="2" t="n">
        <f aca="false">ROUND((S1!$B$2+S1!$B$32+N37)*Assumptions!$B$10/100*Assumptions!$B$11/100/12*C37,2)</f>
        <v>41470.12</v>
      </c>
      <c r="U37" s="2" t="n">
        <f aca="false">ROUND((E37+M37)*Assumptions!$B$10/100*Assumptions!$B$11/100/12*(P37/2+Q37),2)</f>
        <v>39437.8</v>
      </c>
      <c r="V37" s="2" t="n">
        <f aca="false">T37+U37</f>
        <v>80907.92</v>
      </c>
      <c r="W37" s="2" t="n">
        <f aca="false">ROUND(S37*Assumptions!$B$12/100,2)</f>
        <v>20428.73</v>
      </c>
      <c r="X37" s="2" t="n">
        <f aca="false">Assumptions!$B$13*Assumptions!$B$14</f>
        <v>1000</v>
      </c>
      <c r="Y37" s="2" t="n">
        <f aca="false">V37+W37+X37</f>
        <v>102336.65</v>
      </c>
      <c r="Z37" s="2" t="n">
        <f aca="false">ROUND(S1!$B$2*Assumptions!$B$16/100*C37/12,2)</f>
        <v>9352.92</v>
      </c>
      <c r="AA37" s="2" t="n">
        <f aca="false">Z37+O37</f>
        <v>20187.48</v>
      </c>
      <c r="AB37" s="2" t="n">
        <f aca="false">F37-L37-S37</f>
        <v>382083.27</v>
      </c>
    </row>
    <row r="38" customFormat="false" ht="15" hidden="false" customHeight="false" outlineLevel="0" collapsed="false">
      <c r="A38" s="0" t="n">
        <v>5</v>
      </c>
      <c r="B38" s="0" t="n">
        <v>-10</v>
      </c>
      <c r="C38" s="0" t="n">
        <v>6</v>
      </c>
      <c r="D38" s="2" t="n">
        <f aca="false">ROUND(S1!$B$30*(1+A38/100),2)</f>
        <v>1491839.84</v>
      </c>
      <c r="E38" s="2" t="n">
        <f aca="false">ROUND(S1!$B$33*(1+B38/100),2)</f>
        <v>541728</v>
      </c>
      <c r="F38" s="2" t="n">
        <f aca="false">S1!$B$2+S1!$B$31+S1!$B$32+E38+M38+N38+Y38+AA38+L38</f>
        <v>1220677.38</v>
      </c>
      <c r="G38" s="2" t="n">
        <f aca="false">D38-F38</f>
        <v>271162.46</v>
      </c>
      <c r="H38" s="3" t="n">
        <f aca="false">ROUND(G38/D38,4)</f>
        <v>0.1818</v>
      </c>
      <c r="I38" s="3" t="n">
        <f aca="false">IF(AB38&lt;=0,"",ROUND(G38/AB38,4))</f>
        <v>0.9728</v>
      </c>
      <c r="J38" s="2" t="n">
        <f aca="false">ROUND(D38*Assumptions!$B$18/100,2)</f>
        <v>74591.99</v>
      </c>
      <c r="K38" s="2" t="n">
        <f aca="false">ROUND(D38*Assumptions!$B$19/100,2)</f>
        <v>14918.4</v>
      </c>
      <c r="L38" s="2" t="n">
        <f aca="false">J38+K38</f>
        <v>89510.39</v>
      </c>
      <c r="M38" s="2" t="n">
        <f aca="false">ROUND(E38*Assumptions!$B$7/100,2)</f>
        <v>27086.4</v>
      </c>
      <c r="N38" s="2" t="n">
        <f aca="false">ROUND(E38*Assumptions!$B$8/100,2)</f>
        <v>65007.36</v>
      </c>
      <c r="O38" s="2" t="n">
        <f aca="false">ROUND(E38*Assumptions!$B$17/100*C38/12,2)</f>
        <v>4062.96</v>
      </c>
      <c r="P38" s="2" t="n">
        <f aca="false">C38*Assumptions!$B$9/100</f>
        <v>4.2</v>
      </c>
      <c r="Q38" s="2" t="n">
        <f aca="false">C38-P38</f>
        <v>1.8</v>
      </c>
      <c r="R38" s="2" t="n">
        <f aca="false">S1!$B$2+S1!$B$32+E38+M38+N38</f>
        <v>1065521.76</v>
      </c>
      <c r="S38" s="2" t="n">
        <f aca="false">ROUND(R38*Assumptions!$B$10/100,2)</f>
        <v>852417.41</v>
      </c>
      <c r="T38" s="2" t="n">
        <f aca="false">ROUND((S1!$B$2+S1!$B$32+N38)*Assumptions!$B$10/100*Assumptions!$B$11/100/12*C38,2)</f>
        <v>19868.29</v>
      </c>
      <c r="U38" s="2" t="n">
        <f aca="false">ROUND((E38+M38)*Assumptions!$B$10/100*Assumptions!$B$11/100/12*(P38/2+Q38),2)</f>
        <v>14789.17</v>
      </c>
      <c r="V38" s="2" t="n">
        <f aca="false">T38+U38</f>
        <v>34657.46</v>
      </c>
      <c r="W38" s="2" t="n">
        <f aca="false">ROUND(S38*Assumptions!$B$12/100,2)</f>
        <v>17048.35</v>
      </c>
      <c r="X38" s="2" t="n">
        <f aca="false">Assumptions!$B$13*Assumptions!$B$14</f>
        <v>1000</v>
      </c>
      <c r="Y38" s="2" t="n">
        <f aca="false">V38+W38+X38</f>
        <v>52705.81</v>
      </c>
      <c r="Z38" s="2" t="n">
        <f aca="false">ROUND(S1!$B$2*Assumptions!$B$16/100*C38/12,2)</f>
        <v>4676.46</v>
      </c>
      <c r="AA38" s="2" t="n">
        <f aca="false">Z38+O38</f>
        <v>8739.42</v>
      </c>
      <c r="AB38" s="2" t="n">
        <f aca="false">F38-L38-S38</f>
        <v>278749.58</v>
      </c>
    </row>
    <row r="39" customFormat="false" ht="15" hidden="false" customHeight="false" outlineLevel="0" collapsed="false">
      <c r="A39" s="0" t="n">
        <v>5</v>
      </c>
      <c r="B39" s="0" t="n">
        <v>-10</v>
      </c>
      <c r="C39" s="0" t="n">
        <v>9</v>
      </c>
      <c r="D39" s="2" t="n">
        <f aca="false">ROUND(S1!$B$30*(1+A39/100),2)</f>
        <v>1491839.84</v>
      </c>
      <c r="E39" s="2" t="n">
        <f aca="false">ROUND(S1!$B$33*(1+B39/100),2)</f>
        <v>541728</v>
      </c>
      <c r="F39" s="2" t="n">
        <f aca="false">S1!$B$2+S1!$B$31+S1!$B$32+E39+M39+N39+Y39+AA39+L39</f>
        <v>1242375.83</v>
      </c>
      <c r="G39" s="2" t="n">
        <f aca="false">D39-F39</f>
        <v>249464.01</v>
      </c>
      <c r="H39" s="3" t="n">
        <f aca="false">ROUND(G39/D39,4)</f>
        <v>0.1672</v>
      </c>
      <c r="I39" s="3" t="n">
        <f aca="false">IF(AB39&lt;=0,"",ROUND(G39/AB39,4))</f>
        <v>0.8303</v>
      </c>
      <c r="J39" s="2" t="n">
        <f aca="false">ROUND(D39*Assumptions!$B$18/100,2)</f>
        <v>74591.99</v>
      </c>
      <c r="K39" s="2" t="n">
        <f aca="false">ROUND(D39*Assumptions!$B$19/100,2)</f>
        <v>14918.4</v>
      </c>
      <c r="L39" s="2" t="n">
        <f aca="false">J39+K39</f>
        <v>89510.39</v>
      </c>
      <c r="M39" s="2" t="n">
        <f aca="false">ROUND(E39*Assumptions!$B$7/100,2)</f>
        <v>27086.4</v>
      </c>
      <c r="N39" s="2" t="n">
        <f aca="false">ROUND(E39*Assumptions!$B$8/100,2)</f>
        <v>65007.36</v>
      </c>
      <c r="O39" s="2" t="n">
        <f aca="false">ROUND(E39*Assumptions!$B$17/100*C39/12,2)</f>
        <v>6094.44</v>
      </c>
      <c r="P39" s="2" t="n">
        <f aca="false">C39*Assumptions!$B$9/100</f>
        <v>6.3</v>
      </c>
      <c r="Q39" s="2" t="n">
        <f aca="false">C39-P39</f>
        <v>2.7</v>
      </c>
      <c r="R39" s="2" t="n">
        <f aca="false">S1!$B$2+S1!$B$32+E39+M39+N39</f>
        <v>1065521.76</v>
      </c>
      <c r="S39" s="2" t="n">
        <f aca="false">ROUND(R39*Assumptions!$B$10/100,2)</f>
        <v>852417.41</v>
      </c>
      <c r="T39" s="2" t="n">
        <f aca="false">ROUND((S1!$B$2+S1!$B$32+N39)*Assumptions!$B$10/100*Assumptions!$B$11/100/12*C39,2)</f>
        <v>29802.44</v>
      </c>
      <c r="U39" s="2" t="n">
        <f aca="false">ROUND((E39+M39)*Assumptions!$B$10/100*Assumptions!$B$11/100/12*(P39/2+Q39),2)</f>
        <v>22183.76</v>
      </c>
      <c r="V39" s="2" t="n">
        <f aca="false">T39+U39</f>
        <v>51986.2</v>
      </c>
      <c r="W39" s="2" t="n">
        <f aca="false">ROUND(S39*Assumptions!$B$12/100,2)</f>
        <v>17048.35</v>
      </c>
      <c r="X39" s="2" t="n">
        <f aca="false">Assumptions!$B$13*Assumptions!$B$14</f>
        <v>1000</v>
      </c>
      <c r="Y39" s="2" t="n">
        <f aca="false">V39+W39+X39</f>
        <v>70034.55</v>
      </c>
      <c r="Z39" s="2" t="n">
        <f aca="false">ROUND(S1!$B$2*Assumptions!$B$16/100*C39/12,2)</f>
        <v>7014.69</v>
      </c>
      <c r="AA39" s="2" t="n">
        <f aca="false">Z39+O39</f>
        <v>13109.13</v>
      </c>
      <c r="AB39" s="2" t="n">
        <f aca="false">F39-L39-S39</f>
        <v>300448.03</v>
      </c>
    </row>
    <row r="40" customFormat="false" ht="15" hidden="false" customHeight="false" outlineLevel="0" collapsed="false">
      <c r="A40" s="0" t="n">
        <v>5</v>
      </c>
      <c r="B40" s="0" t="n">
        <v>-10</v>
      </c>
      <c r="C40" s="0" t="n">
        <v>12</v>
      </c>
      <c r="D40" s="2" t="n">
        <f aca="false">ROUND(S1!$B$30*(1+A40/100),2)</f>
        <v>1491839.84</v>
      </c>
      <c r="E40" s="2" t="n">
        <f aca="false">ROUND(S1!$B$33*(1+B40/100),2)</f>
        <v>541728</v>
      </c>
      <c r="F40" s="2" t="n">
        <f aca="false">S1!$B$2+S1!$B$31+S1!$B$32+E40+M40+N40+Y40+AA40+L40</f>
        <v>1264074.28</v>
      </c>
      <c r="G40" s="2" t="n">
        <f aca="false">D40-F40</f>
        <v>227765.56</v>
      </c>
      <c r="H40" s="3" t="n">
        <f aca="false">ROUND(G40/D40,4)</f>
        <v>0.1527</v>
      </c>
      <c r="I40" s="3" t="n">
        <f aca="false">IF(AB40&lt;=0,"",ROUND(G40/AB40,4))</f>
        <v>0.707</v>
      </c>
      <c r="J40" s="2" t="n">
        <f aca="false">ROUND(D40*Assumptions!$B$18/100,2)</f>
        <v>74591.99</v>
      </c>
      <c r="K40" s="2" t="n">
        <f aca="false">ROUND(D40*Assumptions!$B$19/100,2)</f>
        <v>14918.4</v>
      </c>
      <c r="L40" s="2" t="n">
        <f aca="false">J40+K40</f>
        <v>89510.39</v>
      </c>
      <c r="M40" s="2" t="n">
        <f aca="false">ROUND(E40*Assumptions!$B$7/100,2)</f>
        <v>27086.4</v>
      </c>
      <c r="N40" s="2" t="n">
        <f aca="false">ROUND(E40*Assumptions!$B$8/100,2)</f>
        <v>65007.36</v>
      </c>
      <c r="O40" s="2" t="n">
        <f aca="false">ROUND(E40*Assumptions!$B$17/100*C40/12,2)</f>
        <v>8125.92</v>
      </c>
      <c r="P40" s="2" t="n">
        <f aca="false">C40*Assumptions!$B$9/100</f>
        <v>8.4</v>
      </c>
      <c r="Q40" s="2" t="n">
        <f aca="false">C40-P40</f>
        <v>3.6</v>
      </c>
      <c r="R40" s="2" t="n">
        <f aca="false">S1!$B$2+S1!$B$32+E40+M40+N40</f>
        <v>1065521.76</v>
      </c>
      <c r="S40" s="2" t="n">
        <f aca="false">ROUND(R40*Assumptions!$B$10/100,2)</f>
        <v>852417.41</v>
      </c>
      <c r="T40" s="2" t="n">
        <f aca="false">ROUND((S1!$B$2+S1!$B$32+N40)*Assumptions!$B$10/100*Assumptions!$B$11/100/12*C40,2)</f>
        <v>39736.59</v>
      </c>
      <c r="U40" s="2" t="n">
        <f aca="false">ROUND((E40+M40)*Assumptions!$B$10/100*Assumptions!$B$11/100/12*(P40/2+Q40),2)</f>
        <v>29578.35</v>
      </c>
      <c r="V40" s="2" t="n">
        <f aca="false">T40+U40</f>
        <v>69314.94</v>
      </c>
      <c r="W40" s="2" t="n">
        <f aca="false">ROUND(S40*Assumptions!$B$12/100,2)</f>
        <v>17048.35</v>
      </c>
      <c r="X40" s="2" t="n">
        <f aca="false">Assumptions!$B$13*Assumptions!$B$14</f>
        <v>1000</v>
      </c>
      <c r="Y40" s="2" t="n">
        <f aca="false">V40+W40+X40</f>
        <v>87363.29</v>
      </c>
      <c r="Z40" s="2" t="n">
        <f aca="false">ROUND(S1!$B$2*Assumptions!$B$16/100*C40/12,2)</f>
        <v>9352.92</v>
      </c>
      <c r="AA40" s="2" t="n">
        <f aca="false">Z40+O40</f>
        <v>17478.84</v>
      </c>
      <c r="AB40" s="2" t="n">
        <f aca="false">F40-L40-S40</f>
        <v>322146.48</v>
      </c>
    </row>
    <row r="41" customFormat="false" ht="15" hidden="false" customHeight="false" outlineLevel="0" collapsed="false">
      <c r="A41" s="0" t="n">
        <v>5</v>
      </c>
      <c r="B41" s="0" t="n">
        <v>0</v>
      </c>
      <c r="C41" s="0" t="n">
        <v>6</v>
      </c>
      <c r="D41" s="2" t="n">
        <f aca="false">ROUND(S1!$B$30*(1+A41/100),2)</f>
        <v>1491839.84</v>
      </c>
      <c r="E41" s="2" t="n">
        <f aca="false">ROUND(S1!$B$33*(1+B41/100),2)</f>
        <v>601920</v>
      </c>
      <c r="F41" s="2" t="n">
        <f aca="false">S1!$B$2+S1!$B$31+S1!$B$32+E41+M41+N41+Y41+AA41+L41</f>
        <v>1294612.43</v>
      </c>
      <c r="G41" s="2" t="n">
        <f aca="false">D41-F41</f>
        <v>197227.41</v>
      </c>
      <c r="H41" s="3" t="n">
        <f aca="false">ROUND(G41/D41,4)</f>
        <v>0.1322</v>
      </c>
      <c r="I41" s="3" t="n">
        <f aca="false">IF(AB41&lt;=0,"",ROUND(G41/AB41,4))</f>
        <v>0.6655</v>
      </c>
      <c r="J41" s="2" t="n">
        <f aca="false">ROUND(D41*Assumptions!$B$18/100,2)</f>
        <v>74591.99</v>
      </c>
      <c r="K41" s="2" t="n">
        <f aca="false">ROUND(D41*Assumptions!$B$19/100,2)</f>
        <v>14918.4</v>
      </c>
      <c r="L41" s="2" t="n">
        <f aca="false">J41+K41</f>
        <v>89510.39</v>
      </c>
      <c r="M41" s="2" t="n">
        <f aca="false">ROUND(E41*Assumptions!$B$7/100,2)</f>
        <v>30096</v>
      </c>
      <c r="N41" s="2" t="n">
        <f aca="false">ROUND(E41*Assumptions!$B$8/100,2)</f>
        <v>72230.4</v>
      </c>
      <c r="O41" s="2" t="n">
        <f aca="false">ROUND(E41*Assumptions!$B$17/100*C41/12,2)</f>
        <v>4514.4</v>
      </c>
      <c r="P41" s="2" t="n">
        <f aca="false">C41*Assumptions!$B$9/100</f>
        <v>4.2</v>
      </c>
      <c r="Q41" s="2" t="n">
        <f aca="false">C41-P41</f>
        <v>1.8</v>
      </c>
      <c r="R41" s="2" t="n">
        <f aca="false">S1!$B$2+S1!$B$32+E41+M41+N41</f>
        <v>1135946.4</v>
      </c>
      <c r="S41" s="2" t="n">
        <f aca="false">ROUND(R41*Assumptions!$B$10/100,2)</f>
        <v>908757.12</v>
      </c>
      <c r="T41" s="2" t="n">
        <f aca="false">ROUND((S1!$B$2+S1!$B$32+N41)*Assumptions!$B$10/100*Assumptions!$B$11/100/12*C41,2)</f>
        <v>20157.22</v>
      </c>
      <c r="U41" s="2" t="n">
        <f aca="false">ROUND((E41+M41)*Assumptions!$B$10/100*Assumptions!$B$11/100/12*(P41/2+Q41),2)</f>
        <v>16432.42</v>
      </c>
      <c r="V41" s="2" t="n">
        <f aca="false">T41+U41</f>
        <v>36589.64</v>
      </c>
      <c r="W41" s="2" t="n">
        <f aca="false">ROUND(S41*Assumptions!$B$12/100,2)</f>
        <v>18175.14</v>
      </c>
      <c r="X41" s="2" t="n">
        <f aca="false">Assumptions!$B$13*Assumptions!$B$14</f>
        <v>1000</v>
      </c>
      <c r="Y41" s="2" t="n">
        <f aca="false">V41+W41+X41</f>
        <v>55764.78</v>
      </c>
      <c r="Z41" s="2" t="n">
        <f aca="false">ROUND(S1!$B$2*Assumptions!$B$16/100*C41/12,2)</f>
        <v>4676.46</v>
      </c>
      <c r="AA41" s="2" t="n">
        <f aca="false">Z41+O41</f>
        <v>9190.86</v>
      </c>
      <c r="AB41" s="2" t="n">
        <f aca="false">F41-L41-S41</f>
        <v>296344.92</v>
      </c>
    </row>
    <row r="42" customFormat="false" ht="15" hidden="false" customHeight="false" outlineLevel="0" collapsed="false">
      <c r="A42" s="0" t="n">
        <v>5</v>
      </c>
      <c r="B42" s="0" t="n">
        <v>0</v>
      </c>
      <c r="C42" s="0" t="n">
        <v>9</v>
      </c>
      <c r="D42" s="2" t="n">
        <f aca="false">ROUND(S1!$B$30*(1+A42/100),2)</f>
        <v>1491839.84</v>
      </c>
      <c r="E42" s="2" t="n">
        <f aca="false">ROUND(S1!$B$33*(1+B42/100),2)</f>
        <v>601920</v>
      </c>
      <c r="F42" s="2" t="n">
        <f aca="false">S1!$B$2+S1!$B$31+S1!$B$32+E42+M42+N42+Y42+AA42+L42</f>
        <v>1317502.66</v>
      </c>
      <c r="G42" s="2" t="n">
        <f aca="false">D42-F42</f>
        <v>174337.18</v>
      </c>
      <c r="H42" s="3" t="n">
        <f aca="false">ROUND(G42/D42,4)</f>
        <v>0.1169</v>
      </c>
      <c r="I42" s="3" t="n">
        <f aca="false">IF(AB42&lt;=0,"",ROUND(G42/AB42,4))</f>
        <v>0.5461</v>
      </c>
      <c r="J42" s="2" t="n">
        <f aca="false">ROUND(D42*Assumptions!$B$18/100,2)</f>
        <v>74591.99</v>
      </c>
      <c r="K42" s="2" t="n">
        <f aca="false">ROUND(D42*Assumptions!$B$19/100,2)</f>
        <v>14918.4</v>
      </c>
      <c r="L42" s="2" t="n">
        <f aca="false">J42+K42</f>
        <v>89510.39</v>
      </c>
      <c r="M42" s="2" t="n">
        <f aca="false">ROUND(E42*Assumptions!$B$7/100,2)</f>
        <v>30096</v>
      </c>
      <c r="N42" s="2" t="n">
        <f aca="false">ROUND(E42*Assumptions!$B$8/100,2)</f>
        <v>72230.4</v>
      </c>
      <c r="O42" s="2" t="n">
        <f aca="false">ROUND(E42*Assumptions!$B$17/100*C42/12,2)</f>
        <v>6771.6</v>
      </c>
      <c r="P42" s="2" t="n">
        <f aca="false">C42*Assumptions!$B$9/100</f>
        <v>6.3</v>
      </c>
      <c r="Q42" s="2" t="n">
        <f aca="false">C42-P42</f>
        <v>2.7</v>
      </c>
      <c r="R42" s="2" t="n">
        <f aca="false">S1!$B$2+S1!$B$32+E42+M42+N42</f>
        <v>1135946.4</v>
      </c>
      <c r="S42" s="2" t="n">
        <f aca="false">ROUND(R42*Assumptions!$B$10/100,2)</f>
        <v>908757.12</v>
      </c>
      <c r="T42" s="2" t="n">
        <f aca="false">ROUND((S1!$B$2+S1!$B$32+N42)*Assumptions!$B$10/100*Assumptions!$B$11/100/12*C42,2)</f>
        <v>30235.82</v>
      </c>
      <c r="U42" s="2" t="n">
        <f aca="false">ROUND((E42+M42)*Assumptions!$B$10/100*Assumptions!$B$11/100/12*(P42/2+Q42),2)</f>
        <v>24648.62</v>
      </c>
      <c r="V42" s="2" t="n">
        <f aca="false">T42+U42</f>
        <v>54884.44</v>
      </c>
      <c r="W42" s="2" t="n">
        <f aca="false">ROUND(S42*Assumptions!$B$12/100,2)</f>
        <v>18175.14</v>
      </c>
      <c r="X42" s="2" t="n">
        <f aca="false">Assumptions!$B$13*Assumptions!$B$14</f>
        <v>1000</v>
      </c>
      <c r="Y42" s="2" t="n">
        <f aca="false">V42+W42+X42</f>
        <v>74059.58</v>
      </c>
      <c r="Z42" s="2" t="n">
        <f aca="false">ROUND(S1!$B$2*Assumptions!$B$16/100*C42/12,2)</f>
        <v>7014.69</v>
      </c>
      <c r="AA42" s="2" t="n">
        <f aca="false">Z42+O42</f>
        <v>13786.29</v>
      </c>
      <c r="AB42" s="2" t="n">
        <f aca="false">F42-L42-S42</f>
        <v>319235.15</v>
      </c>
    </row>
    <row r="43" customFormat="false" ht="15" hidden="false" customHeight="false" outlineLevel="0" collapsed="false">
      <c r="A43" s="0" t="n">
        <v>5</v>
      </c>
      <c r="B43" s="0" t="n">
        <v>0</v>
      </c>
      <c r="C43" s="0" t="n">
        <v>12</v>
      </c>
      <c r="D43" s="2" t="n">
        <f aca="false">ROUND(S1!$B$30*(1+A43/100),2)</f>
        <v>1491839.84</v>
      </c>
      <c r="E43" s="2" t="n">
        <f aca="false">ROUND(S1!$B$33*(1+B43/100),2)</f>
        <v>601920</v>
      </c>
      <c r="F43" s="2" t="n">
        <f aca="false">S1!$B$2+S1!$B$31+S1!$B$32+E43+M43+N43+Y43+AA43+L43</f>
        <v>1340392.91</v>
      </c>
      <c r="G43" s="2" t="n">
        <f aca="false">D43-F43</f>
        <v>151446.93</v>
      </c>
      <c r="H43" s="3" t="n">
        <f aca="false">ROUND(G43/D43,4)</f>
        <v>0.1015</v>
      </c>
      <c r="I43" s="3" t="n">
        <f aca="false">IF(AB43&lt;=0,"",ROUND(G43/AB43,4))</f>
        <v>0.4427</v>
      </c>
      <c r="J43" s="2" t="n">
        <f aca="false">ROUND(D43*Assumptions!$B$18/100,2)</f>
        <v>74591.99</v>
      </c>
      <c r="K43" s="2" t="n">
        <f aca="false">ROUND(D43*Assumptions!$B$19/100,2)</f>
        <v>14918.4</v>
      </c>
      <c r="L43" s="2" t="n">
        <f aca="false">J43+K43</f>
        <v>89510.39</v>
      </c>
      <c r="M43" s="2" t="n">
        <f aca="false">ROUND(E43*Assumptions!$B$7/100,2)</f>
        <v>30096</v>
      </c>
      <c r="N43" s="2" t="n">
        <f aca="false">ROUND(E43*Assumptions!$B$8/100,2)</f>
        <v>72230.4</v>
      </c>
      <c r="O43" s="2" t="n">
        <f aca="false">ROUND(E43*Assumptions!$B$17/100*C43/12,2)</f>
        <v>9028.8</v>
      </c>
      <c r="P43" s="2" t="n">
        <f aca="false">C43*Assumptions!$B$9/100</f>
        <v>8.4</v>
      </c>
      <c r="Q43" s="2" t="n">
        <f aca="false">C43-P43</f>
        <v>3.6</v>
      </c>
      <c r="R43" s="2" t="n">
        <f aca="false">S1!$B$2+S1!$B$32+E43+M43+N43</f>
        <v>1135946.4</v>
      </c>
      <c r="S43" s="2" t="n">
        <f aca="false">ROUND(R43*Assumptions!$B$10/100,2)</f>
        <v>908757.12</v>
      </c>
      <c r="T43" s="2" t="n">
        <f aca="false">ROUND((S1!$B$2+S1!$B$32+N43)*Assumptions!$B$10/100*Assumptions!$B$11/100/12*C43,2)</f>
        <v>40314.43</v>
      </c>
      <c r="U43" s="2" t="n">
        <f aca="false">ROUND((E43+M43)*Assumptions!$B$10/100*Assumptions!$B$11/100/12*(P43/2+Q43),2)</f>
        <v>32864.83</v>
      </c>
      <c r="V43" s="2" t="n">
        <f aca="false">T43+U43</f>
        <v>73179.26</v>
      </c>
      <c r="W43" s="2" t="n">
        <f aca="false">ROUND(S43*Assumptions!$B$12/100,2)</f>
        <v>18175.14</v>
      </c>
      <c r="X43" s="2" t="n">
        <f aca="false">Assumptions!$B$13*Assumptions!$B$14</f>
        <v>1000</v>
      </c>
      <c r="Y43" s="2" t="n">
        <f aca="false">V43+W43+X43</f>
        <v>92354.4</v>
      </c>
      <c r="Z43" s="2" t="n">
        <f aca="false">ROUND(S1!$B$2*Assumptions!$B$16/100*C43/12,2)</f>
        <v>9352.92</v>
      </c>
      <c r="AA43" s="2" t="n">
        <f aca="false">Z43+O43</f>
        <v>18381.72</v>
      </c>
      <c r="AB43" s="2" t="n">
        <f aca="false">F43-L43-S43</f>
        <v>342125.4</v>
      </c>
    </row>
    <row r="44" customFormat="false" ht="15" hidden="false" customHeight="false" outlineLevel="0" collapsed="false">
      <c r="A44" s="0" t="n">
        <v>5</v>
      </c>
      <c r="B44" s="0" t="n">
        <v>10</v>
      </c>
      <c r="C44" s="0" t="n">
        <v>6</v>
      </c>
      <c r="D44" s="2" t="n">
        <f aca="false">ROUND(S1!$B$30*(1+A44/100),2)</f>
        <v>1491839.84</v>
      </c>
      <c r="E44" s="2" t="n">
        <f aca="false">ROUND(S1!$B$33*(1+B44/100),2)</f>
        <v>662112</v>
      </c>
      <c r="F44" s="2" t="n">
        <f aca="false">S1!$B$2+S1!$B$31+S1!$B$32+E44+M44+N44+Y44+AA44+L44</f>
        <v>1368547.47</v>
      </c>
      <c r="G44" s="2" t="n">
        <f aca="false">D44-F44</f>
        <v>123292.37</v>
      </c>
      <c r="H44" s="3" t="n">
        <f aca="false">ROUND(G44/D44,4)</f>
        <v>0.0826</v>
      </c>
      <c r="I44" s="3" t="n">
        <f aca="false">IF(AB44&lt;=0,"",ROUND(G44/AB44,4))</f>
        <v>0.3927</v>
      </c>
      <c r="J44" s="2" t="n">
        <f aca="false">ROUND(D44*Assumptions!$B$18/100,2)</f>
        <v>74591.99</v>
      </c>
      <c r="K44" s="2" t="n">
        <f aca="false">ROUND(D44*Assumptions!$B$19/100,2)</f>
        <v>14918.4</v>
      </c>
      <c r="L44" s="2" t="n">
        <f aca="false">J44+K44</f>
        <v>89510.39</v>
      </c>
      <c r="M44" s="2" t="n">
        <f aca="false">ROUND(E44*Assumptions!$B$7/100,2)</f>
        <v>33105.6</v>
      </c>
      <c r="N44" s="2" t="n">
        <f aca="false">ROUND(E44*Assumptions!$B$8/100,2)</f>
        <v>79453.44</v>
      </c>
      <c r="O44" s="2" t="n">
        <f aca="false">ROUND(E44*Assumptions!$B$17/100*C44/12,2)</f>
        <v>4965.84</v>
      </c>
      <c r="P44" s="2" t="n">
        <f aca="false">C44*Assumptions!$B$9/100</f>
        <v>4.2</v>
      </c>
      <c r="Q44" s="2" t="n">
        <f aca="false">C44-P44</f>
        <v>1.8</v>
      </c>
      <c r="R44" s="2" t="n">
        <f aca="false">S1!$B$2+S1!$B$32+E44+M44+N44</f>
        <v>1206371.04</v>
      </c>
      <c r="S44" s="2" t="n">
        <f aca="false">ROUND(R44*Assumptions!$B$10/100,2)</f>
        <v>965096.83</v>
      </c>
      <c r="T44" s="2" t="n">
        <f aca="false">ROUND((S1!$B$2+S1!$B$32+N44)*Assumptions!$B$10/100*Assumptions!$B$11/100/12*C44,2)</f>
        <v>20446.14</v>
      </c>
      <c r="U44" s="2" t="n">
        <f aca="false">ROUND((E44+M44)*Assumptions!$B$10/100*Assumptions!$B$11/100/12*(P44/2+Q44),2)</f>
        <v>18075.66</v>
      </c>
      <c r="V44" s="2" t="n">
        <f aca="false">T44+U44</f>
        <v>38521.8</v>
      </c>
      <c r="W44" s="2" t="n">
        <f aca="false">ROUND(S44*Assumptions!$B$12/100,2)</f>
        <v>19301.94</v>
      </c>
      <c r="X44" s="2" t="n">
        <f aca="false">Assumptions!$B$13*Assumptions!$B$14</f>
        <v>1000</v>
      </c>
      <c r="Y44" s="2" t="n">
        <f aca="false">V44+W44+X44</f>
        <v>58823.74</v>
      </c>
      <c r="Z44" s="2" t="n">
        <f aca="false">ROUND(S1!$B$2*Assumptions!$B$16/100*C44/12,2)</f>
        <v>4676.46</v>
      </c>
      <c r="AA44" s="2" t="n">
        <f aca="false">Z44+O44</f>
        <v>9642.3</v>
      </c>
      <c r="AB44" s="2" t="n">
        <f aca="false">F44-L44-S44</f>
        <v>313940.25</v>
      </c>
    </row>
    <row r="45" customFormat="false" ht="15" hidden="false" customHeight="false" outlineLevel="0" collapsed="false">
      <c r="A45" s="0" t="n">
        <v>5</v>
      </c>
      <c r="B45" s="0" t="n">
        <v>10</v>
      </c>
      <c r="C45" s="0" t="n">
        <v>9</v>
      </c>
      <c r="D45" s="2" t="n">
        <f aca="false">ROUND(S1!$B$30*(1+A45/100),2)</f>
        <v>1491839.84</v>
      </c>
      <c r="E45" s="2" t="n">
        <f aca="false">ROUND(S1!$B$33*(1+B45/100),2)</f>
        <v>662112</v>
      </c>
      <c r="F45" s="2" t="n">
        <f aca="false">S1!$B$2+S1!$B$31+S1!$B$32+E45+M45+N45+Y45+AA45+L45</f>
        <v>1392629.52</v>
      </c>
      <c r="G45" s="2" t="n">
        <f aca="false">D45-F45</f>
        <v>99210.3200000003</v>
      </c>
      <c r="H45" s="3" t="n">
        <f aca="false">ROUND(G45/D45,4)</f>
        <v>0.0665</v>
      </c>
      <c r="I45" s="3" t="n">
        <f aca="false">IF(AB45&lt;=0,"",ROUND(G45/AB45,4))</f>
        <v>0.2935</v>
      </c>
      <c r="J45" s="2" t="n">
        <f aca="false">ROUND(D45*Assumptions!$B$18/100,2)</f>
        <v>74591.99</v>
      </c>
      <c r="K45" s="2" t="n">
        <f aca="false">ROUND(D45*Assumptions!$B$19/100,2)</f>
        <v>14918.4</v>
      </c>
      <c r="L45" s="2" t="n">
        <f aca="false">J45+K45</f>
        <v>89510.39</v>
      </c>
      <c r="M45" s="2" t="n">
        <f aca="false">ROUND(E45*Assumptions!$B$7/100,2)</f>
        <v>33105.6</v>
      </c>
      <c r="N45" s="2" t="n">
        <f aca="false">ROUND(E45*Assumptions!$B$8/100,2)</f>
        <v>79453.44</v>
      </c>
      <c r="O45" s="2" t="n">
        <f aca="false">ROUND(E45*Assumptions!$B$17/100*C45/12,2)</f>
        <v>7448.76</v>
      </c>
      <c r="P45" s="2" t="n">
        <f aca="false">C45*Assumptions!$B$9/100</f>
        <v>6.3</v>
      </c>
      <c r="Q45" s="2" t="n">
        <f aca="false">C45-P45</f>
        <v>2.7</v>
      </c>
      <c r="R45" s="2" t="n">
        <f aca="false">S1!$B$2+S1!$B$32+E45+M45+N45</f>
        <v>1206371.04</v>
      </c>
      <c r="S45" s="2" t="n">
        <f aca="false">ROUND(R45*Assumptions!$B$10/100,2)</f>
        <v>965096.83</v>
      </c>
      <c r="T45" s="2" t="n">
        <f aca="false">ROUND((S1!$B$2+S1!$B$32+N45)*Assumptions!$B$10/100*Assumptions!$B$11/100/12*C45,2)</f>
        <v>30669.21</v>
      </c>
      <c r="U45" s="2" t="n">
        <f aca="false">ROUND((E45+M45)*Assumptions!$B$10/100*Assumptions!$B$11/100/12*(P45/2+Q45),2)</f>
        <v>27113.49</v>
      </c>
      <c r="V45" s="2" t="n">
        <f aca="false">T45+U45</f>
        <v>57782.7</v>
      </c>
      <c r="W45" s="2" t="n">
        <f aca="false">ROUND(S45*Assumptions!$B$12/100,2)</f>
        <v>19301.94</v>
      </c>
      <c r="X45" s="2" t="n">
        <f aca="false">Assumptions!$B$13*Assumptions!$B$14</f>
        <v>1000</v>
      </c>
      <c r="Y45" s="2" t="n">
        <f aca="false">V45+W45+X45</f>
        <v>78084.64</v>
      </c>
      <c r="Z45" s="2" t="n">
        <f aca="false">ROUND(S1!$B$2*Assumptions!$B$16/100*C45/12,2)</f>
        <v>7014.69</v>
      </c>
      <c r="AA45" s="2" t="n">
        <f aca="false">Z45+O45</f>
        <v>14463.45</v>
      </c>
      <c r="AB45" s="2" t="n">
        <f aca="false">F45-L45-S45</f>
        <v>338022.3</v>
      </c>
    </row>
    <row r="46" customFormat="false" ht="15" hidden="false" customHeight="false" outlineLevel="0" collapsed="false">
      <c r="A46" s="0" t="n">
        <v>5</v>
      </c>
      <c r="B46" s="0" t="n">
        <v>10</v>
      </c>
      <c r="C46" s="0" t="n">
        <v>12</v>
      </c>
      <c r="D46" s="2" t="n">
        <f aca="false">ROUND(S1!$B$30*(1+A46/100),2)</f>
        <v>1491839.84</v>
      </c>
      <c r="E46" s="2" t="n">
        <f aca="false">ROUND(S1!$B$33*(1+B46/100),2)</f>
        <v>662112</v>
      </c>
      <c r="F46" s="2" t="n">
        <f aca="false">S1!$B$2+S1!$B$31+S1!$B$32+E46+M46+N46+Y46+AA46+L46</f>
        <v>1416711.57</v>
      </c>
      <c r="G46" s="2" t="n">
        <f aca="false">D46-F46</f>
        <v>75128.27</v>
      </c>
      <c r="H46" s="3" t="n">
        <f aca="false">ROUND(G46/D46,4)</f>
        <v>0.0504</v>
      </c>
      <c r="I46" s="3" t="n">
        <f aca="false">IF(AB46&lt;=0,"",ROUND(G46/AB46,4))</f>
        <v>0.2075</v>
      </c>
      <c r="J46" s="2" t="n">
        <f aca="false">ROUND(D46*Assumptions!$B$18/100,2)</f>
        <v>74591.99</v>
      </c>
      <c r="K46" s="2" t="n">
        <f aca="false">ROUND(D46*Assumptions!$B$19/100,2)</f>
        <v>14918.4</v>
      </c>
      <c r="L46" s="2" t="n">
        <f aca="false">J46+K46</f>
        <v>89510.39</v>
      </c>
      <c r="M46" s="2" t="n">
        <f aca="false">ROUND(E46*Assumptions!$B$7/100,2)</f>
        <v>33105.6</v>
      </c>
      <c r="N46" s="2" t="n">
        <f aca="false">ROUND(E46*Assumptions!$B$8/100,2)</f>
        <v>79453.44</v>
      </c>
      <c r="O46" s="2" t="n">
        <f aca="false">ROUND(E46*Assumptions!$B$17/100*C46/12,2)</f>
        <v>9931.68</v>
      </c>
      <c r="P46" s="2" t="n">
        <f aca="false">C46*Assumptions!$B$9/100</f>
        <v>8.4</v>
      </c>
      <c r="Q46" s="2" t="n">
        <f aca="false">C46-P46</f>
        <v>3.6</v>
      </c>
      <c r="R46" s="2" t="n">
        <f aca="false">S1!$B$2+S1!$B$32+E46+M46+N46</f>
        <v>1206371.04</v>
      </c>
      <c r="S46" s="2" t="n">
        <f aca="false">ROUND(R46*Assumptions!$B$10/100,2)</f>
        <v>965096.83</v>
      </c>
      <c r="T46" s="2" t="n">
        <f aca="false">ROUND((S1!$B$2+S1!$B$32+N46)*Assumptions!$B$10/100*Assumptions!$B$11/100/12*C46,2)</f>
        <v>40892.28</v>
      </c>
      <c r="U46" s="2" t="n">
        <f aca="false">ROUND((E46+M46)*Assumptions!$B$10/100*Assumptions!$B$11/100/12*(P46/2+Q46),2)</f>
        <v>36151.32</v>
      </c>
      <c r="V46" s="2" t="n">
        <f aca="false">T46+U46</f>
        <v>77043.6</v>
      </c>
      <c r="W46" s="2" t="n">
        <f aca="false">ROUND(S46*Assumptions!$B$12/100,2)</f>
        <v>19301.94</v>
      </c>
      <c r="X46" s="2" t="n">
        <f aca="false">Assumptions!$B$13*Assumptions!$B$14</f>
        <v>1000</v>
      </c>
      <c r="Y46" s="2" t="n">
        <f aca="false">V46+W46+X46</f>
        <v>97345.54</v>
      </c>
      <c r="Z46" s="2" t="n">
        <f aca="false">ROUND(S1!$B$2*Assumptions!$B$16/100*C46/12,2)</f>
        <v>9352.92</v>
      </c>
      <c r="AA46" s="2" t="n">
        <f aca="false">Z46+O46</f>
        <v>19284.6</v>
      </c>
      <c r="AB46" s="2" t="n">
        <f aca="false">F46-L46-S46</f>
        <v>362104.35</v>
      </c>
    </row>
    <row r="47" customFormat="false" ht="15" hidden="false" customHeight="false" outlineLevel="0" collapsed="false">
      <c r="A47" s="0" t="n">
        <v>5</v>
      </c>
      <c r="B47" s="0" t="n">
        <v>20</v>
      </c>
      <c r="C47" s="0" t="n">
        <v>6</v>
      </c>
      <c r="D47" s="2" t="n">
        <f aca="false">ROUND(S1!$B$30*(1+A47/100),2)</f>
        <v>1491839.84</v>
      </c>
      <c r="E47" s="2" t="n">
        <f aca="false">ROUND(S1!$B$33*(1+B47/100),2)</f>
        <v>722304</v>
      </c>
      <c r="F47" s="2" t="n">
        <f aca="false">S1!$B$2+S1!$B$31+S1!$B$32+E47+M47+N47+Y47+AA47+L47</f>
        <v>1442482.5</v>
      </c>
      <c r="G47" s="2" t="n">
        <f aca="false">D47-F47</f>
        <v>49357.3400000003</v>
      </c>
      <c r="H47" s="3" t="n">
        <f aca="false">ROUND(G47/D47,4)</f>
        <v>0.0331</v>
      </c>
      <c r="I47" s="3" t="n">
        <f aca="false">IF(AB47&lt;=0,"",ROUND(G47/AB47,4))</f>
        <v>0.1489</v>
      </c>
      <c r="J47" s="2" t="n">
        <f aca="false">ROUND(D47*Assumptions!$B$18/100,2)</f>
        <v>74591.99</v>
      </c>
      <c r="K47" s="2" t="n">
        <f aca="false">ROUND(D47*Assumptions!$B$19/100,2)</f>
        <v>14918.4</v>
      </c>
      <c r="L47" s="2" t="n">
        <f aca="false">J47+K47</f>
        <v>89510.39</v>
      </c>
      <c r="M47" s="2" t="n">
        <f aca="false">ROUND(E47*Assumptions!$B$7/100,2)</f>
        <v>36115.2</v>
      </c>
      <c r="N47" s="2" t="n">
        <f aca="false">ROUND(E47*Assumptions!$B$8/100,2)</f>
        <v>86676.48</v>
      </c>
      <c r="O47" s="2" t="n">
        <f aca="false">ROUND(E47*Assumptions!$B$17/100*C47/12,2)</f>
        <v>5417.28</v>
      </c>
      <c r="P47" s="2" t="n">
        <f aca="false">C47*Assumptions!$B$9/100</f>
        <v>4.2</v>
      </c>
      <c r="Q47" s="2" t="n">
        <f aca="false">C47-P47</f>
        <v>1.8</v>
      </c>
      <c r="R47" s="2" t="n">
        <f aca="false">S1!$B$2+S1!$B$32+E47+M47+N47</f>
        <v>1276795.68</v>
      </c>
      <c r="S47" s="2" t="n">
        <f aca="false">ROUND(R47*Assumptions!$B$10/100,2)</f>
        <v>1021436.54</v>
      </c>
      <c r="T47" s="2" t="n">
        <f aca="false">ROUND((S1!$B$2+S1!$B$32+N47)*Assumptions!$B$10/100*Assumptions!$B$11/100/12*C47,2)</f>
        <v>20735.06</v>
      </c>
      <c r="U47" s="2" t="n">
        <f aca="false">ROUND((E47+M47)*Assumptions!$B$10/100*Assumptions!$B$11/100/12*(P47/2+Q47),2)</f>
        <v>19718.9</v>
      </c>
      <c r="V47" s="2" t="n">
        <f aca="false">T47+U47</f>
        <v>40453.96</v>
      </c>
      <c r="W47" s="2" t="n">
        <f aca="false">ROUND(S47*Assumptions!$B$12/100,2)</f>
        <v>20428.73</v>
      </c>
      <c r="X47" s="2" t="n">
        <f aca="false">Assumptions!$B$13*Assumptions!$B$14</f>
        <v>1000</v>
      </c>
      <c r="Y47" s="2" t="n">
        <f aca="false">V47+W47+X47</f>
        <v>61882.69</v>
      </c>
      <c r="Z47" s="2" t="n">
        <f aca="false">ROUND(S1!$B$2*Assumptions!$B$16/100*C47/12,2)</f>
        <v>4676.46</v>
      </c>
      <c r="AA47" s="2" t="n">
        <f aca="false">Z47+O47</f>
        <v>10093.74</v>
      </c>
      <c r="AB47" s="2" t="n">
        <f aca="false">F47-L47-S47</f>
        <v>331535.57</v>
      </c>
    </row>
    <row r="48" customFormat="false" ht="15" hidden="false" customHeight="false" outlineLevel="0" collapsed="false">
      <c r="A48" s="0" t="n">
        <v>5</v>
      </c>
      <c r="B48" s="0" t="n">
        <v>20</v>
      </c>
      <c r="C48" s="0" t="n">
        <v>9</v>
      </c>
      <c r="D48" s="2" t="n">
        <f aca="false">ROUND(S1!$B$30*(1+A48/100),2)</f>
        <v>1491839.84</v>
      </c>
      <c r="E48" s="2" t="n">
        <f aca="false">ROUND(S1!$B$33*(1+B48/100),2)</f>
        <v>722304</v>
      </c>
      <c r="F48" s="2" t="n">
        <f aca="false">S1!$B$2+S1!$B$31+S1!$B$32+E48+M48+N48+Y48+AA48+L48</f>
        <v>1467756.35</v>
      </c>
      <c r="G48" s="2" t="n">
        <f aca="false">D48-F48</f>
        <v>24083.4900000002</v>
      </c>
      <c r="H48" s="3" t="n">
        <f aca="false">ROUND(G48/D48,4)</f>
        <v>0.0161</v>
      </c>
      <c r="I48" s="3" t="n">
        <f aca="false">IF(AB48&lt;=0,"",ROUND(G48/AB48,4))</f>
        <v>0.0675</v>
      </c>
      <c r="J48" s="2" t="n">
        <f aca="false">ROUND(D48*Assumptions!$B$18/100,2)</f>
        <v>74591.99</v>
      </c>
      <c r="K48" s="2" t="n">
        <f aca="false">ROUND(D48*Assumptions!$B$19/100,2)</f>
        <v>14918.4</v>
      </c>
      <c r="L48" s="2" t="n">
        <f aca="false">J48+K48</f>
        <v>89510.39</v>
      </c>
      <c r="M48" s="2" t="n">
        <f aca="false">ROUND(E48*Assumptions!$B$7/100,2)</f>
        <v>36115.2</v>
      </c>
      <c r="N48" s="2" t="n">
        <f aca="false">ROUND(E48*Assumptions!$B$8/100,2)</f>
        <v>86676.48</v>
      </c>
      <c r="O48" s="2" t="n">
        <f aca="false">ROUND(E48*Assumptions!$B$17/100*C48/12,2)</f>
        <v>8125.92</v>
      </c>
      <c r="P48" s="2" t="n">
        <f aca="false">C48*Assumptions!$B$9/100</f>
        <v>6.3</v>
      </c>
      <c r="Q48" s="2" t="n">
        <f aca="false">C48-P48</f>
        <v>2.7</v>
      </c>
      <c r="R48" s="2" t="n">
        <f aca="false">S1!$B$2+S1!$B$32+E48+M48+N48</f>
        <v>1276795.68</v>
      </c>
      <c r="S48" s="2" t="n">
        <f aca="false">ROUND(R48*Assumptions!$B$10/100,2)</f>
        <v>1021436.54</v>
      </c>
      <c r="T48" s="2" t="n">
        <f aca="false">ROUND((S1!$B$2+S1!$B$32+N48)*Assumptions!$B$10/100*Assumptions!$B$11/100/12*C48,2)</f>
        <v>31102.59</v>
      </c>
      <c r="U48" s="2" t="n">
        <f aca="false">ROUND((E48+M48)*Assumptions!$B$10/100*Assumptions!$B$11/100/12*(P48/2+Q48),2)</f>
        <v>29578.35</v>
      </c>
      <c r="V48" s="2" t="n">
        <f aca="false">T48+U48</f>
        <v>60680.94</v>
      </c>
      <c r="W48" s="2" t="n">
        <f aca="false">ROUND(S48*Assumptions!$B$12/100,2)</f>
        <v>20428.73</v>
      </c>
      <c r="X48" s="2" t="n">
        <f aca="false">Assumptions!$B$13*Assumptions!$B$14</f>
        <v>1000</v>
      </c>
      <c r="Y48" s="2" t="n">
        <f aca="false">V48+W48+X48</f>
        <v>82109.67</v>
      </c>
      <c r="Z48" s="2" t="n">
        <f aca="false">ROUND(S1!$B$2*Assumptions!$B$16/100*C48/12,2)</f>
        <v>7014.69</v>
      </c>
      <c r="AA48" s="2" t="n">
        <f aca="false">Z48+O48</f>
        <v>15140.61</v>
      </c>
      <c r="AB48" s="2" t="n">
        <f aca="false">F48-L48-S48</f>
        <v>356809.42</v>
      </c>
    </row>
    <row r="49" customFormat="false" ht="15" hidden="false" customHeight="false" outlineLevel="0" collapsed="false">
      <c r="A49" s="0" t="n">
        <v>5</v>
      </c>
      <c r="B49" s="0" t="n">
        <v>20</v>
      </c>
      <c r="C49" s="0" t="n">
        <v>12</v>
      </c>
      <c r="D49" s="2" t="n">
        <f aca="false">ROUND(S1!$B$30*(1+A49/100),2)</f>
        <v>1491839.84</v>
      </c>
      <c r="E49" s="2" t="n">
        <f aca="false">ROUND(S1!$B$33*(1+B49/100),2)</f>
        <v>722304</v>
      </c>
      <c r="F49" s="2" t="n">
        <f aca="false">S1!$B$2+S1!$B$31+S1!$B$32+E49+M49+N49+Y49+AA49+L49</f>
        <v>1493030.2</v>
      </c>
      <c r="G49" s="2" t="n">
        <f aca="false">D49-F49</f>
        <v>-1190.35999999964</v>
      </c>
      <c r="H49" s="3" t="n">
        <f aca="false">ROUND(G49/D49,4)</f>
        <v>-0.0008</v>
      </c>
      <c r="I49" s="3" t="n">
        <f aca="false">IF(AB49&lt;=0,"",ROUND(G49/AB49,4))</f>
        <v>-0.0031</v>
      </c>
      <c r="J49" s="2" t="n">
        <f aca="false">ROUND(D49*Assumptions!$B$18/100,2)</f>
        <v>74591.99</v>
      </c>
      <c r="K49" s="2" t="n">
        <f aca="false">ROUND(D49*Assumptions!$B$19/100,2)</f>
        <v>14918.4</v>
      </c>
      <c r="L49" s="2" t="n">
        <f aca="false">J49+K49</f>
        <v>89510.39</v>
      </c>
      <c r="M49" s="2" t="n">
        <f aca="false">ROUND(E49*Assumptions!$B$7/100,2)</f>
        <v>36115.2</v>
      </c>
      <c r="N49" s="2" t="n">
        <f aca="false">ROUND(E49*Assumptions!$B$8/100,2)</f>
        <v>86676.48</v>
      </c>
      <c r="O49" s="2" t="n">
        <f aca="false">ROUND(E49*Assumptions!$B$17/100*C49/12,2)</f>
        <v>10834.56</v>
      </c>
      <c r="P49" s="2" t="n">
        <f aca="false">C49*Assumptions!$B$9/100</f>
        <v>8.4</v>
      </c>
      <c r="Q49" s="2" t="n">
        <f aca="false">C49-P49</f>
        <v>3.6</v>
      </c>
      <c r="R49" s="2" t="n">
        <f aca="false">S1!$B$2+S1!$B$32+E49+M49+N49</f>
        <v>1276795.68</v>
      </c>
      <c r="S49" s="2" t="n">
        <f aca="false">ROUND(R49*Assumptions!$B$10/100,2)</f>
        <v>1021436.54</v>
      </c>
      <c r="T49" s="2" t="n">
        <f aca="false">ROUND((S1!$B$2+S1!$B$32+N49)*Assumptions!$B$10/100*Assumptions!$B$11/100/12*C49,2)</f>
        <v>41470.12</v>
      </c>
      <c r="U49" s="2" t="n">
        <f aca="false">ROUND((E49+M49)*Assumptions!$B$10/100*Assumptions!$B$11/100/12*(P49/2+Q49),2)</f>
        <v>39437.8</v>
      </c>
      <c r="V49" s="2" t="n">
        <f aca="false">T49+U49</f>
        <v>80907.92</v>
      </c>
      <c r="W49" s="2" t="n">
        <f aca="false">ROUND(S49*Assumptions!$B$12/100,2)</f>
        <v>20428.73</v>
      </c>
      <c r="X49" s="2" t="n">
        <f aca="false">Assumptions!$B$13*Assumptions!$B$14</f>
        <v>1000</v>
      </c>
      <c r="Y49" s="2" t="n">
        <f aca="false">V49+W49+X49</f>
        <v>102336.65</v>
      </c>
      <c r="Z49" s="2" t="n">
        <f aca="false">ROUND(S1!$B$2*Assumptions!$B$16/100*C49/12,2)</f>
        <v>9352.92</v>
      </c>
      <c r="AA49" s="2" t="n">
        <f aca="false">Z49+O49</f>
        <v>20187.48</v>
      </c>
      <c r="AB49" s="2" t="n">
        <f aca="false">F49-L49-S49</f>
        <v>382083.27</v>
      </c>
    </row>
    <row r="50" customFormat="false" ht="15" hidden="false" customHeight="false" outlineLevel="0" collapsed="false">
      <c r="A50" s="0" t="n">
        <v>10</v>
      </c>
      <c r="B50" s="0" t="n">
        <v>-10</v>
      </c>
      <c r="C50" s="0" t="n">
        <v>6</v>
      </c>
      <c r="D50" s="2" t="n">
        <f aca="false">ROUND(S1!$B$30*(1+A50/100),2)</f>
        <v>1562879.84</v>
      </c>
      <c r="E50" s="2" t="n">
        <f aca="false">ROUND(S1!$B$33*(1+B50/100),2)</f>
        <v>541728</v>
      </c>
      <c r="F50" s="2" t="n">
        <f aca="false">S1!$B$2+S1!$B$31+S1!$B$32+E50+M50+N50+Y50+AA50+L50</f>
        <v>1224939.78</v>
      </c>
      <c r="G50" s="2" t="n">
        <f aca="false">D50-F50</f>
        <v>337940.06</v>
      </c>
      <c r="H50" s="3" t="n">
        <f aca="false">ROUND(G50/D50,4)</f>
        <v>0.2162</v>
      </c>
      <c r="I50" s="3" t="n">
        <f aca="false">IF(AB50&lt;=0,"",ROUND(G50/AB50,4))</f>
        <v>1.2123</v>
      </c>
      <c r="J50" s="2" t="n">
        <f aca="false">ROUND(D50*Assumptions!$B$18/100,2)</f>
        <v>78143.99</v>
      </c>
      <c r="K50" s="2" t="n">
        <f aca="false">ROUND(D50*Assumptions!$B$19/100,2)</f>
        <v>15628.8</v>
      </c>
      <c r="L50" s="2" t="n">
        <f aca="false">J50+K50</f>
        <v>93772.79</v>
      </c>
      <c r="M50" s="2" t="n">
        <f aca="false">ROUND(E50*Assumptions!$B$7/100,2)</f>
        <v>27086.4</v>
      </c>
      <c r="N50" s="2" t="n">
        <f aca="false">ROUND(E50*Assumptions!$B$8/100,2)</f>
        <v>65007.36</v>
      </c>
      <c r="O50" s="2" t="n">
        <f aca="false">ROUND(E50*Assumptions!$B$17/100*C50/12,2)</f>
        <v>4062.96</v>
      </c>
      <c r="P50" s="2" t="n">
        <f aca="false">C50*Assumptions!$B$9/100</f>
        <v>4.2</v>
      </c>
      <c r="Q50" s="2" t="n">
        <f aca="false">C50-P50</f>
        <v>1.8</v>
      </c>
      <c r="R50" s="2" t="n">
        <f aca="false">S1!$B$2+S1!$B$32+E50+M50+N50</f>
        <v>1065521.76</v>
      </c>
      <c r="S50" s="2" t="n">
        <f aca="false">ROUND(R50*Assumptions!$B$10/100,2)</f>
        <v>852417.41</v>
      </c>
      <c r="T50" s="2" t="n">
        <f aca="false">ROUND((S1!$B$2+S1!$B$32+N50)*Assumptions!$B$10/100*Assumptions!$B$11/100/12*C50,2)</f>
        <v>19868.29</v>
      </c>
      <c r="U50" s="2" t="n">
        <f aca="false">ROUND((E50+M50)*Assumptions!$B$10/100*Assumptions!$B$11/100/12*(P50/2+Q50),2)</f>
        <v>14789.17</v>
      </c>
      <c r="V50" s="2" t="n">
        <f aca="false">T50+U50</f>
        <v>34657.46</v>
      </c>
      <c r="W50" s="2" t="n">
        <f aca="false">ROUND(S50*Assumptions!$B$12/100,2)</f>
        <v>17048.35</v>
      </c>
      <c r="X50" s="2" t="n">
        <f aca="false">Assumptions!$B$13*Assumptions!$B$14</f>
        <v>1000</v>
      </c>
      <c r="Y50" s="2" t="n">
        <f aca="false">V50+W50+X50</f>
        <v>52705.81</v>
      </c>
      <c r="Z50" s="2" t="n">
        <f aca="false">ROUND(S1!$B$2*Assumptions!$B$16/100*C50/12,2)</f>
        <v>4676.46</v>
      </c>
      <c r="AA50" s="2" t="n">
        <f aca="false">Z50+O50</f>
        <v>8739.42</v>
      </c>
      <c r="AB50" s="2" t="n">
        <f aca="false">F50-L50-S50</f>
        <v>278749.58</v>
      </c>
    </row>
    <row r="51" customFormat="false" ht="15" hidden="false" customHeight="false" outlineLevel="0" collapsed="false">
      <c r="A51" s="0" t="n">
        <v>10</v>
      </c>
      <c r="B51" s="0" t="n">
        <v>-10</v>
      </c>
      <c r="C51" s="0" t="n">
        <v>9</v>
      </c>
      <c r="D51" s="2" t="n">
        <f aca="false">ROUND(S1!$B$30*(1+A51/100),2)</f>
        <v>1562879.84</v>
      </c>
      <c r="E51" s="2" t="n">
        <f aca="false">ROUND(S1!$B$33*(1+B51/100),2)</f>
        <v>541728</v>
      </c>
      <c r="F51" s="2" t="n">
        <f aca="false">S1!$B$2+S1!$B$31+S1!$B$32+E51+M51+N51+Y51+AA51+L51</f>
        <v>1246638.23</v>
      </c>
      <c r="G51" s="2" t="n">
        <f aca="false">D51-F51</f>
        <v>316241.61</v>
      </c>
      <c r="H51" s="3" t="n">
        <f aca="false">ROUND(G51/D51,4)</f>
        <v>0.2023</v>
      </c>
      <c r="I51" s="3" t="n">
        <f aca="false">IF(AB51&lt;=0,"",ROUND(G51/AB51,4))</f>
        <v>1.0526</v>
      </c>
      <c r="J51" s="2" t="n">
        <f aca="false">ROUND(D51*Assumptions!$B$18/100,2)</f>
        <v>78143.99</v>
      </c>
      <c r="K51" s="2" t="n">
        <f aca="false">ROUND(D51*Assumptions!$B$19/100,2)</f>
        <v>15628.8</v>
      </c>
      <c r="L51" s="2" t="n">
        <f aca="false">J51+K51</f>
        <v>93772.79</v>
      </c>
      <c r="M51" s="2" t="n">
        <f aca="false">ROUND(E51*Assumptions!$B$7/100,2)</f>
        <v>27086.4</v>
      </c>
      <c r="N51" s="2" t="n">
        <f aca="false">ROUND(E51*Assumptions!$B$8/100,2)</f>
        <v>65007.36</v>
      </c>
      <c r="O51" s="2" t="n">
        <f aca="false">ROUND(E51*Assumptions!$B$17/100*C51/12,2)</f>
        <v>6094.44</v>
      </c>
      <c r="P51" s="2" t="n">
        <f aca="false">C51*Assumptions!$B$9/100</f>
        <v>6.3</v>
      </c>
      <c r="Q51" s="2" t="n">
        <f aca="false">C51-P51</f>
        <v>2.7</v>
      </c>
      <c r="R51" s="2" t="n">
        <f aca="false">S1!$B$2+S1!$B$32+E51+M51+N51</f>
        <v>1065521.76</v>
      </c>
      <c r="S51" s="2" t="n">
        <f aca="false">ROUND(R51*Assumptions!$B$10/100,2)</f>
        <v>852417.41</v>
      </c>
      <c r="T51" s="2" t="n">
        <f aca="false">ROUND((S1!$B$2+S1!$B$32+N51)*Assumptions!$B$10/100*Assumptions!$B$11/100/12*C51,2)</f>
        <v>29802.44</v>
      </c>
      <c r="U51" s="2" t="n">
        <f aca="false">ROUND((E51+M51)*Assumptions!$B$10/100*Assumptions!$B$11/100/12*(P51/2+Q51),2)</f>
        <v>22183.76</v>
      </c>
      <c r="V51" s="2" t="n">
        <f aca="false">T51+U51</f>
        <v>51986.2</v>
      </c>
      <c r="W51" s="2" t="n">
        <f aca="false">ROUND(S51*Assumptions!$B$12/100,2)</f>
        <v>17048.35</v>
      </c>
      <c r="X51" s="2" t="n">
        <f aca="false">Assumptions!$B$13*Assumptions!$B$14</f>
        <v>1000</v>
      </c>
      <c r="Y51" s="2" t="n">
        <f aca="false">V51+W51+X51</f>
        <v>70034.55</v>
      </c>
      <c r="Z51" s="2" t="n">
        <f aca="false">ROUND(S1!$B$2*Assumptions!$B$16/100*C51/12,2)</f>
        <v>7014.69</v>
      </c>
      <c r="AA51" s="2" t="n">
        <f aca="false">Z51+O51</f>
        <v>13109.13</v>
      </c>
      <c r="AB51" s="2" t="n">
        <f aca="false">F51-L51-S51</f>
        <v>300448.03</v>
      </c>
    </row>
    <row r="52" customFormat="false" ht="15" hidden="false" customHeight="false" outlineLevel="0" collapsed="false">
      <c r="A52" s="0" t="n">
        <v>10</v>
      </c>
      <c r="B52" s="0" t="n">
        <v>-10</v>
      </c>
      <c r="C52" s="0" t="n">
        <v>12</v>
      </c>
      <c r="D52" s="2" t="n">
        <f aca="false">ROUND(S1!$B$30*(1+A52/100),2)</f>
        <v>1562879.84</v>
      </c>
      <c r="E52" s="2" t="n">
        <f aca="false">ROUND(S1!$B$33*(1+B52/100),2)</f>
        <v>541728</v>
      </c>
      <c r="F52" s="2" t="n">
        <f aca="false">S1!$B$2+S1!$B$31+S1!$B$32+E52+M52+N52+Y52+AA52+L52</f>
        <v>1268336.68</v>
      </c>
      <c r="G52" s="2" t="n">
        <f aca="false">D52-F52</f>
        <v>294543.16</v>
      </c>
      <c r="H52" s="3" t="n">
        <f aca="false">ROUND(G52/D52,4)</f>
        <v>0.1885</v>
      </c>
      <c r="I52" s="3" t="n">
        <f aca="false">IF(AB52&lt;=0,"",ROUND(G52/AB52,4))</f>
        <v>0.9143</v>
      </c>
      <c r="J52" s="2" t="n">
        <f aca="false">ROUND(D52*Assumptions!$B$18/100,2)</f>
        <v>78143.99</v>
      </c>
      <c r="K52" s="2" t="n">
        <f aca="false">ROUND(D52*Assumptions!$B$19/100,2)</f>
        <v>15628.8</v>
      </c>
      <c r="L52" s="2" t="n">
        <f aca="false">J52+K52</f>
        <v>93772.79</v>
      </c>
      <c r="M52" s="2" t="n">
        <f aca="false">ROUND(E52*Assumptions!$B$7/100,2)</f>
        <v>27086.4</v>
      </c>
      <c r="N52" s="2" t="n">
        <f aca="false">ROUND(E52*Assumptions!$B$8/100,2)</f>
        <v>65007.36</v>
      </c>
      <c r="O52" s="2" t="n">
        <f aca="false">ROUND(E52*Assumptions!$B$17/100*C52/12,2)</f>
        <v>8125.92</v>
      </c>
      <c r="P52" s="2" t="n">
        <f aca="false">C52*Assumptions!$B$9/100</f>
        <v>8.4</v>
      </c>
      <c r="Q52" s="2" t="n">
        <f aca="false">C52-P52</f>
        <v>3.6</v>
      </c>
      <c r="R52" s="2" t="n">
        <f aca="false">S1!$B$2+S1!$B$32+E52+M52+N52</f>
        <v>1065521.76</v>
      </c>
      <c r="S52" s="2" t="n">
        <f aca="false">ROUND(R52*Assumptions!$B$10/100,2)</f>
        <v>852417.41</v>
      </c>
      <c r="T52" s="2" t="n">
        <f aca="false">ROUND((S1!$B$2+S1!$B$32+N52)*Assumptions!$B$10/100*Assumptions!$B$11/100/12*C52,2)</f>
        <v>39736.59</v>
      </c>
      <c r="U52" s="2" t="n">
        <f aca="false">ROUND((E52+M52)*Assumptions!$B$10/100*Assumptions!$B$11/100/12*(P52/2+Q52),2)</f>
        <v>29578.35</v>
      </c>
      <c r="V52" s="2" t="n">
        <f aca="false">T52+U52</f>
        <v>69314.94</v>
      </c>
      <c r="W52" s="2" t="n">
        <f aca="false">ROUND(S52*Assumptions!$B$12/100,2)</f>
        <v>17048.35</v>
      </c>
      <c r="X52" s="2" t="n">
        <f aca="false">Assumptions!$B$13*Assumptions!$B$14</f>
        <v>1000</v>
      </c>
      <c r="Y52" s="2" t="n">
        <f aca="false">V52+W52+X52</f>
        <v>87363.29</v>
      </c>
      <c r="Z52" s="2" t="n">
        <f aca="false">ROUND(S1!$B$2*Assumptions!$B$16/100*C52/12,2)</f>
        <v>9352.92</v>
      </c>
      <c r="AA52" s="2" t="n">
        <f aca="false">Z52+O52</f>
        <v>17478.84</v>
      </c>
      <c r="AB52" s="2" t="n">
        <f aca="false">F52-L52-S52</f>
        <v>322146.48</v>
      </c>
    </row>
    <row r="53" customFormat="false" ht="15" hidden="false" customHeight="false" outlineLevel="0" collapsed="false">
      <c r="A53" s="0" t="n">
        <v>10</v>
      </c>
      <c r="B53" s="0" t="n">
        <v>0</v>
      </c>
      <c r="C53" s="0" t="n">
        <v>6</v>
      </c>
      <c r="D53" s="2" t="n">
        <f aca="false">ROUND(S1!$B$30*(1+A53/100),2)</f>
        <v>1562879.84</v>
      </c>
      <c r="E53" s="2" t="n">
        <f aca="false">ROUND(S1!$B$33*(1+B53/100),2)</f>
        <v>601920</v>
      </c>
      <c r="F53" s="2" t="n">
        <f aca="false">S1!$B$2+S1!$B$31+S1!$B$32+E53+M53+N53+Y53+AA53+L53</f>
        <v>1298874.83</v>
      </c>
      <c r="G53" s="2" t="n">
        <f aca="false">D53-F53</f>
        <v>264005.01</v>
      </c>
      <c r="H53" s="3" t="n">
        <f aca="false">ROUND(G53/D53,4)</f>
        <v>0.1689</v>
      </c>
      <c r="I53" s="3" t="n">
        <f aca="false">IF(AB53&lt;=0,"",ROUND(G53/AB53,4))</f>
        <v>0.8909</v>
      </c>
      <c r="J53" s="2" t="n">
        <f aca="false">ROUND(D53*Assumptions!$B$18/100,2)</f>
        <v>78143.99</v>
      </c>
      <c r="K53" s="2" t="n">
        <f aca="false">ROUND(D53*Assumptions!$B$19/100,2)</f>
        <v>15628.8</v>
      </c>
      <c r="L53" s="2" t="n">
        <f aca="false">J53+K53</f>
        <v>93772.79</v>
      </c>
      <c r="M53" s="2" t="n">
        <f aca="false">ROUND(E53*Assumptions!$B$7/100,2)</f>
        <v>30096</v>
      </c>
      <c r="N53" s="2" t="n">
        <f aca="false">ROUND(E53*Assumptions!$B$8/100,2)</f>
        <v>72230.4</v>
      </c>
      <c r="O53" s="2" t="n">
        <f aca="false">ROUND(E53*Assumptions!$B$17/100*C53/12,2)</f>
        <v>4514.4</v>
      </c>
      <c r="P53" s="2" t="n">
        <f aca="false">C53*Assumptions!$B$9/100</f>
        <v>4.2</v>
      </c>
      <c r="Q53" s="2" t="n">
        <f aca="false">C53-P53</f>
        <v>1.8</v>
      </c>
      <c r="R53" s="2" t="n">
        <f aca="false">S1!$B$2+S1!$B$32+E53+M53+N53</f>
        <v>1135946.4</v>
      </c>
      <c r="S53" s="2" t="n">
        <f aca="false">ROUND(R53*Assumptions!$B$10/100,2)</f>
        <v>908757.12</v>
      </c>
      <c r="T53" s="2" t="n">
        <f aca="false">ROUND((S1!$B$2+S1!$B$32+N53)*Assumptions!$B$10/100*Assumptions!$B$11/100/12*C53,2)</f>
        <v>20157.22</v>
      </c>
      <c r="U53" s="2" t="n">
        <f aca="false">ROUND((E53+M53)*Assumptions!$B$10/100*Assumptions!$B$11/100/12*(P53/2+Q53),2)</f>
        <v>16432.42</v>
      </c>
      <c r="V53" s="2" t="n">
        <f aca="false">T53+U53</f>
        <v>36589.64</v>
      </c>
      <c r="W53" s="2" t="n">
        <f aca="false">ROUND(S53*Assumptions!$B$12/100,2)</f>
        <v>18175.14</v>
      </c>
      <c r="X53" s="2" t="n">
        <f aca="false">Assumptions!$B$13*Assumptions!$B$14</f>
        <v>1000</v>
      </c>
      <c r="Y53" s="2" t="n">
        <f aca="false">V53+W53+X53</f>
        <v>55764.78</v>
      </c>
      <c r="Z53" s="2" t="n">
        <f aca="false">ROUND(S1!$B$2*Assumptions!$B$16/100*C53/12,2)</f>
        <v>4676.46</v>
      </c>
      <c r="AA53" s="2" t="n">
        <f aca="false">Z53+O53</f>
        <v>9190.86</v>
      </c>
      <c r="AB53" s="2" t="n">
        <f aca="false">F53-L53-S53</f>
        <v>296344.92</v>
      </c>
    </row>
    <row r="54" customFormat="false" ht="15" hidden="false" customHeight="false" outlineLevel="0" collapsed="false">
      <c r="A54" s="0" t="n">
        <v>10</v>
      </c>
      <c r="B54" s="0" t="n">
        <v>0</v>
      </c>
      <c r="C54" s="0" t="n">
        <v>9</v>
      </c>
      <c r="D54" s="2" t="n">
        <f aca="false">ROUND(S1!$B$30*(1+A54/100),2)</f>
        <v>1562879.84</v>
      </c>
      <c r="E54" s="2" t="n">
        <f aca="false">ROUND(S1!$B$33*(1+B54/100),2)</f>
        <v>601920</v>
      </c>
      <c r="F54" s="2" t="n">
        <f aca="false">S1!$B$2+S1!$B$31+S1!$B$32+E54+M54+N54+Y54+AA54+L54</f>
        <v>1321765.06</v>
      </c>
      <c r="G54" s="2" t="n">
        <f aca="false">D54-F54</f>
        <v>241114.78</v>
      </c>
      <c r="H54" s="3" t="n">
        <f aca="false">ROUND(G54/D54,4)</f>
        <v>0.1543</v>
      </c>
      <c r="I54" s="3" t="n">
        <f aca="false">IF(AB54&lt;=0,"",ROUND(G54/AB54,4))</f>
        <v>0.7553</v>
      </c>
      <c r="J54" s="2" t="n">
        <f aca="false">ROUND(D54*Assumptions!$B$18/100,2)</f>
        <v>78143.99</v>
      </c>
      <c r="K54" s="2" t="n">
        <f aca="false">ROUND(D54*Assumptions!$B$19/100,2)</f>
        <v>15628.8</v>
      </c>
      <c r="L54" s="2" t="n">
        <f aca="false">J54+K54</f>
        <v>93772.79</v>
      </c>
      <c r="M54" s="2" t="n">
        <f aca="false">ROUND(E54*Assumptions!$B$7/100,2)</f>
        <v>30096</v>
      </c>
      <c r="N54" s="2" t="n">
        <f aca="false">ROUND(E54*Assumptions!$B$8/100,2)</f>
        <v>72230.4</v>
      </c>
      <c r="O54" s="2" t="n">
        <f aca="false">ROUND(E54*Assumptions!$B$17/100*C54/12,2)</f>
        <v>6771.6</v>
      </c>
      <c r="P54" s="2" t="n">
        <f aca="false">C54*Assumptions!$B$9/100</f>
        <v>6.3</v>
      </c>
      <c r="Q54" s="2" t="n">
        <f aca="false">C54-P54</f>
        <v>2.7</v>
      </c>
      <c r="R54" s="2" t="n">
        <f aca="false">S1!$B$2+S1!$B$32+E54+M54+N54</f>
        <v>1135946.4</v>
      </c>
      <c r="S54" s="2" t="n">
        <f aca="false">ROUND(R54*Assumptions!$B$10/100,2)</f>
        <v>908757.12</v>
      </c>
      <c r="T54" s="2" t="n">
        <f aca="false">ROUND((S1!$B$2+S1!$B$32+N54)*Assumptions!$B$10/100*Assumptions!$B$11/100/12*C54,2)</f>
        <v>30235.82</v>
      </c>
      <c r="U54" s="2" t="n">
        <f aca="false">ROUND((E54+M54)*Assumptions!$B$10/100*Assumptions!$B$11/100/12*(P54/2+Q54),2)</f>
        <v>24648.62</v>
      </c>
      <c r="V54" s="2" t="n">
        <f aca="false">T54+U54</f>
        <v>54884.44</v>
      </c>
      <c r="W54" s="2" t="n">
        <f aca="false">ROUND(S54*Assumptions!$B$12/100,2)</f>
        <v>18175.14</v>
      </c>
      <c r="X54" s="2" t="n">
        <f aca="false">Assumptions!$B$13*Assumptions!$B$14</f>
        <v>1000</v>
      </c>
      <c r="Y54" s="2" t="n">
        <f aca="false">V54+W54+X54</f>
        <v>74059.58</v>
      </c>
      <c r="Z54" s="2" t="n">
        <f aca="false">ROUND(S1!$B$2*Assumptions!$B$16/100*C54/12,2)</f>
        <v>7014.69</v>
      </c>
      <c r="AA54" s="2" t="n">
        <f aca="false">Z54+O54</f>
        <v>13786.29</v>
      </c>
      <c r="AB54" s="2" t="n">
        <f aca="false">F54-L54-S54</f>
        <v>319235.15</v>
      </c>
    </row>
    <row r="55" customFormat="false" ht="15" hidden="false" customHeight="false" outlineLevel="0" collapsed="false">
      <c r="A55" s="0" t="n">
        <v>10</v>
      </c>
      <c r="B55" s="0" t="n">
        <v>0</v>
      </c>
      <c r="C55" s="0" t="n">
        <v>12</v>
      </c>
      <c r="D55" s="2" t="n">
        <f aca="false">ROUND(S1!$B$30*(1+A55/100),2)</f>
        <v>1562879.84</v>
      </c>
      <c r="E55" s="2" t="n">
        <f aca="false">ROUND(S1!$B$33*(1+B55/100),2)</f>
        <v>601920</v>
      </c>
      <c r="F55" s="2" t="n">
        <f aca="false">S1!$B$2+S1!$B$31+S1!$B$32+E55+M55+N55+Y55+AA55+L55</f>
        <v>1344655.31</v>
      </c>
      <c r="G55" s="2" t="n">
        <f aca="false">D55-F55</f>
        <v>218224.53</v>
      </c>
      <c r="H55" s="3" t="n">
        <f aca="false">ROUND(G55/D55,4)</f>
        <v>0.1396</v>
      </c>
      <c r="I55" s="3" t="n">
        <f aca="false">IF(AB55&lt;=0,"",ROUND(G55/AB55,4))</f>
        <v>0.6378</v>
      </c>
      <c r="J55" s="2" t="n">
        <f aca="false">ROUND(D55*Assumptions!$B$18/100,2)</f>
        <v>78143.99</v>
      </c>
      <c r="K55" s="2" t="n">
        <f aca="false">ROUND(D55*Assumptions!$B$19/100,2)</f>
        <v>15628.8</v>
      </c>
      <c r="L55" s="2" t="n">
        <f aca="false">J55+K55</f>
        <v>93772.79</v>
      </c>
      <c r="M55" s="2" t="n">
        <f aca="false">ROUND(E55*Assumptions!$B$7/100,2)</f>
        <v>30096</v>
      </c>
      <c r="N55" s="2" t="n">
        <f aca="false">ROUND(E55*Assumptions!$B$8/100,2)</f>
        <v>72230.4</v>
      </c>
      <c r="O55" s="2" t="n">
        <f aca="false">ROUND(E55*Assumptions!$B$17/100*C55/12,2)</f>
        <v>9028.8</v>
      </c>
      <c r="P55" s="2" t="n">
        <f aca="false">C55*Assumptions!$B$9/100</f>
        <v>8.4</v>
      </c>
      <c r="Q55" s="2" t="n">
        <f aca="false">C55-P55</f>
        <v>3.6</v>
      </c>
      <c r="R55" s="2" t="n">
        <f aca="false">S1!$B$2+S1!$B$32+E55+M55+N55</f>
        <v>1135946.4</v>
      </c>
      <c r="S55" s="2" t="n">
        <f aca="false">ROUND(R55*Assumptions!$B$10/100,2)</f>
        <v>908757.12</v>
      </c>
      <c r="T55" s="2" t="n">
        <f aca="false">ROUND((S1!$B$2+S1!$B$32+N55)*Assumptions!$B$10/100*Assumptions!$B$11/100/12*C55,2)</f>
        <v>40314.43</v>
      </c>
      <c r="U55" s="2" t="n">
        <f aca="false">ROUND((E55+M55)*Assumptions!$B$10/100*Assumptions!$B$11/100/12*(P55/2+Q55),2)</f>
        <v>32864.83</v>
      </c>
      <c r="V55" s="2" t="n">
        <f aca="false">T55+U55</f>
        <v>73179.26</v>
      </c>
      <c r="W55" s="2" t="n">
        <f aca="false">ROUND(S55*Assumptions!$B$12/100,2)</f>
        <v>18175.14</v>
      </c>
      <c r="X55" s="2" t="n">
        <f aca="false">Assumptions!$B$13*Assumptions!$B$14</f>
        <v>1000</v>
      </c>
      <c r="Y55" s="2" t="n">
        <f aca="false">V55+W55+X55</f>
        <v>92354.4</v>
      </c>
      <c r="Z55" s="2" t="n">
        <f aca="false">ROUND(S1!$B$2*Assumptions!$B$16/100*C55/12,2)</f>
        <v>9352.92</v>
      </c>
      <c r="AA55" s="2" t="n">
        <f aca="false">Z55+O55</f>
        <v>18381.72</v>
      </c>
      <c r="AB55" s="2" t="n">
        <f aca="false">F55-L55-S55</f>
        <v>342125.4</v>
      </c>
    </row>
    <row r="56" customFormat="false" ht="15" hidden="false" customHeight="false" outlineLevel="0" collapsed="false">
      <c r="A56" s="0" t="n">
        <v>10</v>
      </c>
      <c r="B56" s="0" t="n">
        <v>10</v>
      </c>
      <c r="C56" s="0" t="n">
        <v>6</v>
      </c>
      <c r="D56" s="2" t="n">
        <f aca="false">ROUND(S1!$B$30*(1+A56/100),2)</f>
        <v>1562879.84</v>
      </c>
      <c r="E56" s="2" t="n">
        <f aca="false">ROUND(S1!$B$33*(1+B56/100),2)</f>
        <v>662112</v>
      </c>
      <c r="F56" s="2" t="n">
        <f aca="false">S1!$B$2+S1!$B$31+S1!$B$32+E56+M56+N56+Y56+AA56+L56</f>
        <v>1372809.87</v>
      </c>
      <c r="G56" s="2" t="n">
        <f aca="false">D56-F56</f>
        <v>190069.97</v>
      </c>
      <c r="H56" s="3" t="n">
        <f aca="false">ROUND(G56/D56,4)</f>
        <v>0.1216</v>
      </c>
      <c r="I56" s="3" t="n">
        <f aca="false">IF(AB56&lt;=0,"",ROUND(G56/AB56,4))</f>
        <v>0.6054</v>
      </c>
      <c r="J56" s="2" t="n">
        <f aca="false">ROUND(D56*Assumptions!$B$18/100,2)</f>
        <v>78143.99</v>
      </c>
      <c r="K56" s="2" t="n">
        <f aca="false">ROUND(D56*Assumptions!$B$19/100,2)</f>
        <v>15628.8</v>
      </c>
      <c r="L56" s="2" t="n">
        <f aca="false">J56+K56</f>
        <v>93772.79</v>
      </c>
      <c r="M56" s="2" t="n">
        <f aca="false">ROUND(E56*Assumptions!$B$7/100,2)</f>
        <v>33105.6</v>
      </c>
      <c r="N56" s="2" t="n">
        <f aca="false">ROUND(E56*Assumptions!$B$8/100,2)</f>
        <v>79453.44</v>
      </c>
      <c r="O56" s="2" t="n">
        <f aca="false">ROUND(E56*Assumptions!$B$17/100*C56/12,2)</f>
        <v>4965.84</v>
      </c>
      <c r="P56" s="2" t="n">
        <f aca="false">C56*Assumptions!$B$9/100</f>
        <v>4.2</v>
      </c>
      <c r="Q56" s="2" t="n">
        <f aca="false">C56-P56</f>
        <v>1.8</v>
      </c>
      <c r="R56" s="2" t="n">
        <f aca="false">S1!$B$2+S1!$B$32+E56+M56+N56</f>
        <v>1206371.04</v>
      </c>
      <c r="S56" s="2" t="n">
        <f aca="false">ROUND(R56*Assumptions!$B$10/100,2)</f>
        <v>965096.83</v>
      </c>
      <c r="T56" s="2" t="n">
        <f aca="false">ROUND((S1!$B$2+S1!$B$32+N56)*Assumptions!$B$10/100*Assumptions!$B$11/100/12*C56,2)</f>
        <v>20446.14</v>
      </c>
      <c r="U56" s="2" t="n">
        <f aca="false">ROUND((E56+M56)*Assumptions!$B$10/100*Assumptions!$B$11/100/12*(P56/2+Q56),2)</f>
        <v>18075.66</v>
      </c>
      <c r="V56" s="2" t="n">
        <f aca="false">T56+U56</f>
        <v>38521.8</v>
      </c>
      <c r="W56" s="2" t="n">
        <f aca="false">ROUND(S56*Assumptions!$B$12/100,2)</f>
        <v>19301.94</v>
      </c>
      <c r="X56" s="2" t="n">
        <f aca="false">Assumptions!$B$13*Assumptions!$B$14</f>
        <v>1000</v>
      </c>
      <c r="Y56" s="2" t="n">
        <f aca="false">V56+W56+X56</f>
        <v>58823.74</v>
      </c>
      <c r="Z56" s="2" t="n">
        <f aca="false">ROUND(S1!$B$2*Assumptions!$B$16/100*C56/12,2)</f>
        <v>4676.46</v>
      </c>
      <c r="AA56" s="2" t="n">
        <f aca="false">Z56+O56</f>
        <v>9642.3</v>
      </c>
      <c r="AB56" s="2" t="n">
        <f aca="false">F56-L56-S56</f>
        <v>313940.25</v>
      </c>
    </row>
    <row r="57" customFormat="false" ht="15" hidden="false" customHeight="false" outlineLevel="0" collapsed="false">
      <c r="A57" s="0" t="n">
        <v>10</v>
      </c>
      <c r="B57" s="0" t="n">
        <v>10</v>
      </c>
      <c r="C57" s="0" t="n">
        <v>9</v>
      </c>
      <c r="D57" s="2" t="n">
        <f aca="false">ROUND(S1!$B$30*(1+A57/100),2)</f>
        <v>1562879.84</v>
      </c>
      <c r="E57" s="2" t="n">
        <f aca="false">ROUND(S1!$B$33*(1+B57/100),2)</f>
        <v>662112</v>
      </c>
      <c r="F57" s="2" t="n">
        <f aca="false">S1!$B$2+S1!$B$31+S1!$B$32+E57+M57+N57+Y57+AA57+L57</f>
        <v>1396891.92</v>
      </c>
      <c r="G57" s="2" t="n">
        <f aca="false">D57-F57</f>
        <v>165987.92</v>
      </c>
      <c r="H57" s="3" t="n">
        <f aca="false">ROUND(G57/D57,4)</f>
        <v>0.1062</v>
      </c>
      <c r="I57" s="3" t="n">
        <f aca="false">IF(AB57&lt;=0,"",ROUND(G57/AB57,4))</f>
        <v>0.4911</v>
      </c>
      <c r="J57" s="2" t="n">
        <f aca="false">ROUND(D57*Assumptions!$B$18/100,2)</f>
        <v>78143.99</v>
      </c>
      <c r="K57" s="2" t="n">
        <f aca="false">ROUND(D57*Assumptions!$B$19/100,2)</f>
        <v>15628.8</v>
      </c>
      <c r="L57" s="2" t="n">
        <f aca="false">J57+K57</f>
        <v>93772.79</v>
      </c>
      <c r="M57" s="2" t="n">
        <f aca="false">ROUND(E57*Assumptions!$B$7/100,2)</f>
        <v>33105.6</v>
      </c>
      <c r="N57" s="2" t="n">
        <f aca="false">ROUND(E57*Assumptions!$B$8/100,2)</f>
        <v>79453.44</v>
      </c>
      <c r="O57" s="2" t="n">
        <f aca="false">ROUND(E57*Assumptions!$B$17/100*C57/12,2)</f>
        <v>7448.76</v>
      </c>
      <c r="P57" s="2" t="n">
        <f aca="false">C57*Assumptions!$B$9/100</f>
        <v>6.3</v>
      </c>
      <c r="Q57" s="2" t="n">
        <f aca="false">C57-P57</f>
        <v>2.7</v>
      </c>
      <c r="R57" s="2" t="n">
        <f aca="false">S1!$B$2+S1!$B$32+E57+M57+N57</f>
        <v>1206371.04</v>
      </c>
      <c r="S57" s="2" t="n">
        <f aca="false">ROUND(R57*Assumptions!$B$10/100,2)</f>
        <v>965096.83</v>
      </c>
      <c r="T57" s="2" t="n">
        <f aca="false">ROUND((S1!$B$2+S1!$B$32+N57)*Assumptions!$B$10/100*Assumptions!$B$11/100/12*C57,2)</f>
        <v>30669.21</v>
      </c>
      <c r="U57" s="2" t="n">
        <f aca="false">ROUND((E57+M57)*Assumptions!$B$10/100*Assumptions!$B$11/100/12*(P57/2+Q57),2)</f>
        <v>27113.49</v>
      </c>
      <c r="V57" s="2" t="n">
        <f aca="false">T57+U57</f>
        <v>57782.7</v>
      </c>
      <c r="W57" s="2" t="n">
        <f aca="false">ROUND(S57*Assumptions!$B$12/100,2)</f>
        <v>19301.94</v>
      </c>
      <c r="X57" s="2" t="n">
        <f aca="false">Assumptions!$B$13*Assumptions!$B$14</f>
        <v>1000</v>
      </c>
      <c r="Y57" s="2" t="n">
        <f aca="false">V57+W57+X57</f>
        <v>78084.64</v>
      </c>
      <c r="Z57" s="2" t="n">
        <f aca="false">ROUND(S1!$B$2*Assumptions!$B$16/100*C57/12,2)</f>
        <v>7014.69</v>
      </c>
      <c r="AA57" s="2" t="n">
        <f aca="false">Z57+O57</f>
        <v>14463.45</v>
      </c>
      <c r="AB57" s="2" t="n">
        <f aca="false">F57-L57-S57</f>
        <v>338022.3</v>
      </c>
    </row>
    <row r="58" customFormat="false" ht="15" hidden="false" customHeight="false" outlineLevel="0" collapsed="false">
      <c r="A58" s="0" t="n">
        <v>10</v>
      </c>
      <c r="B58" s="0" t="n">
        <v>10</v>
      </c>
      <c r="C58" s="0" t="n">
        <v>12</v>
      </c>
      <c r="D58" s="2" t="n">
        <f aca="false">ROUND(S1!$B$30*(1+A58/100),2)</f>
        <v>1562879.84</v>
      </c>
      <c r="E58" s="2" t="n">
        <f aca="false">ROUND(S1!$B$33*(1+B58/100),2)</f>
        <v>662112</v>
      </c>
      <c r="F58" s="2" t="n">
        <f aca="false">S1!$B$2+S1!$B$31+S1!$B$32+E58+M58+N58+Y58+AA58+L58</f>
        <v>1420973.97</v>
      </c>
      <c r="G58" s="2" t="n">
        <f aca="false">D58-F58</f>
        <v>141905.87</v>
      </c>
      <c r="H58" s="3" t="n">
        <f aca="false">ROUND(G58/D58,4)</f>
        <v>0.0908</v>
      </c>
      <c r="I58" s="3" t="n">
        <f aca="false">IF(AB58&lt;=0,"",ROUND(G58/AB58,4))</f>
        <v>0.3919</v>
      </c>
      <c r="J58" s="2" t="n">
        <f aca="false">ROUND(D58*Assumptions!$B$18/100,2)</f>
        <v>78143.99</v>
      </c>
      <c r="K58" s="2" t="n">
        <f aca="false">ROUND(D58*Assumptions!$B$19/100,2)</f>
        <v>15628.8</v>
      </c>
      <c r="L58" s="2" t="n">
        <f aca="false">J58+K58</f>
        <v>93772.79</v>
      </c>
      <c r="M58" s="2" t="n">
        <f aca="false">ROUND(E58*Assumptions!$B$7/100,2)</f>
        <v>33105.6</v>
      </c>
      <c r="N58" s="2" t="n">
        <f aca="false">ROUND(E58*Assumptions!$B$8/100,2)</f>
        <v>79453.44</v>
      </c>
      <c r="O58" s="2" t="n">
        <f aca="false">ROUND(E58*Assumptions!$B$17/100*C58/12,2)</f>
        <v>9931.68</v>
      </c>
      <c r="P58" s="2" t="n">
        <f aca="false">C58*Assumptions!$B$9/100</f>
        <v>8.4</v>
      </c>
      <c r="Q58" s="2" t="n">
        <f aca="false">C58-P58</f>
        <v>3.6</v>
      </c>
      <c r="R58" s="2" t="n">
        <f aca="false">S1!$B$2+S1!$B$32+E58+M58+N58</f>
        <v>1206371.04</v>
      </c>
      <c r="S58" s="2" t="n">
        <f aca="false">ROUND(R58*Assumptions!$B$10/100,2)</f>
        <v>965096.83</v>
      </c>
      <c r="T58" s="2" t="n">
        <f aca="false">ROUND((S1!$B$2+S1!$B$32+N58)*Assumptions!$B$10/100*Assumptions!$B$11/100/12*C58,2)</f>
        <v>40892.28</v>
      </c>
      <c r="U58" s="2" t="n">
        <f aca="false">ROUND((E58+M58)*Assumptions!$B$10/100*Assumptions!$B$11/100/12*(P58/2+Q58),2)</f>
        <v>36151.32</v>
      </c>
      <c r="V58" s="2" t="n">
        <f aca="false">T58+U58</f>
        <v>77043.6</v>
      </c>
      <c r="W58" s="2" t="n">
        <f aca="false">ROUND(S58*Assumptions!$B$12/100,2)</f>
        <v>19301.94</v>
      </c>
      <c r="X58" s="2" t="n">
        <f aca="false">Assumptions!$B$13*Assumptions!$B$14</f>
        <v>1000</v>
      </c>
      <c r="Y58" s="2" t="n">
        <f aca="false">V58+W58+X58</f>
        <v>97345.54</v>
      </c>
      <c r="Z58" s="2" t="n">
        <f aca="false">ROUND(S1!$B$2*Assumptions!$B$16/100*C58/12,2)</f>
        <v>9352.92</v>
      </c>
      <c r="AA58" s="2" t="n">
        <f aca="false">Z58+O58</f>
        <v>19284.6</v>
      </c>
      <c r="AB58" s="2" t="n">
        <f aca="false">F58-L58-S58</f>
        <v>362104.35</v>
      </c>
    </row>
    <row r="59" customFormat="false" ht="15" hidden="false" customHeight="false" outlineLevel="0" collapsed="false">
      <c r="A59" s="0" t="n">
        <v>10</v>
      </c>
      <c r="B59" s="0" t="n">
        <v>20</v>
      </c>
      <c r="C59" s="0" t="n">
        <v>6</v>
      </c>
      <c r="D59" s="2" t="n">
        <f aca="false">ROUND(S1!$B$30*(1+A59/100),2)</f>
        <v>1562879.84</v>
      </c>
      <c r="E59" s="2" t="n">
        <f aca="false">ROUND(S1!$B$33*(1+B59/100),2)</f>
        <v>722304</v>
      </c>
      <c r="F59" s="2" t="n">
        <f aca="false">S1!$B$2+S1!$B$31+S1!$B$32+E59+M59+N59+Y59+AA59+L59</f>
        <v>1446744.9</v>
      </c>
      <c r="G59" s="2" t="n">
        <f aca="false">D59-F59</f>
        <v>116134.94</v>
      </c>
      <c r="H59" s="3" t="n">
        <f aca="false">ROUND(G59/D59,4)</f>
        <v>0.0743</v>
      </c>
      <c r="I59" s="3" t="n">
        <f aca="false">IF(AB59&lt;=0,"",ROUND(G59/AB59,4))</f>
        <v>0.3503</v>
      </c>
      <c r="J59" s="2" t="n">
        <f aca="false">ROUND(D59*Assumptions!$B$18/100,2)</f>
        <v>78143.99</v>
      </c>
      <c r="K59" s="2" t="n">
        <f aca="false">ROUND(D59*Assumptions!$B$19/100,2)</f>
        <v>15628.8</v>
      </c>
      <c r="L59" s="2" t="n">
        <f aca="false">J59+K59</f>
        <v>93772.79</v>
      </c>
      <c r="M59" s="2" t="n">
        <f aca="false">ROUND(E59*Assumptions!$B$7/100,2)</f>
        <v>36115.2</v>
      </c>
      <c r="N59" s="2" t="n">
        <f aca="false">ROUND(E59*Assumptions!$B$8/100,2)</f>
        <v>86676.48</v>
      </c>
      <c r="O59" s="2" t="n">
        <f aca="false">ROUND(E59*Assumptions!$B$17/100*C59/12,2)</f>
        <v>5417.28</v>
      </c>
      <c r="P59" s="2" t="n">
        <f aca="false">C59*Assumptions!$B$9/100</f>
        <v>4.2</v>
      </c>
      <c r="Q59" s="2" t="n">
        <f aca="false">C59-P59</f>
        <v>1.8</v>
      </c>
      <c r="R59" s="2" t="n">
        <f aca="false">S1!$B$2+S1!$B$32+E59+M59+N59</f>
        <v>1276795.68</v>
      </c>
      <c r="S59" s="2" t="n">
        <f aca="false">ROUND(R59*Assumptions!$B$10/100,2)</f>
        <v>1021436.54</v>
      </c>
      <c r="T59" s="2" t="n">
        <f aca="false">ROUND((S1!$B$2+S1!$B$32+N59)*Assumptions!$B$10/100*Assumptions!$B$11/100/12*C59,2)</f>
        <v>20735.06</v>
      </c>
      <c r="U59" s="2" t="n">
        <f aca="false">ROUND((E59+M59)*Assumptions!$B$10/100*Assumptions!$B$11/100/12*(P59/2+Q59),2)</f>
        <v>19718.9</v>
      </c>
      <c r="V59" s="2" t="n">
        <f aca="false">T59+U59</f>
        <v>40453.96</v>
      </c>
      <c r="W59" s="2" t="n">
        <f aca="false">ROUND(S59*Assumptions!$B$12/100,2)</f>
        <v>20428.73</v>
      </c>
      <c r="X59" s="2" t="n">
        <f aca="false">Assumptions!$B$13*Assumptions!$B$14</f>
        <v>1000</v>
      </c>
      <c r="Y59" s="2" t="n">
        <f aca="false">V59+W59+X59</f>
        <v>61882.69</v>
      </c>
      <c r="Z59" s="2" t="n">
        <f aca="false">ROUND(S1!$B$2*Assumptions!$B$16/100*C59/12,2)</f>
        <v>4676.46</v>
      </c>
      <c r="AA59" s="2" t="n">
        <f aca="false">Z59+O59</f>
        <v>10093.74</v>
      </c>
      <c r="AB59" s="2" t="n">
        <f aca="false">F59-L59-S59</f>
        <v>331535.57</v>
      </c>
    </row>
    <row r="60" customFormat="false" ht="15" hidden="false" customHeight="false" outlineLevel="0" collapsed="false">
      <c r="A60" s="0" t="n">
        <v>10</v>
      </c>
      <c r="B60" s="0" t="n">
        <v>20</v>
      </c>
      <c r="C60" s="0" t="n">
        <v>9</v>
      </c>
      <c r="D60" s="2" t="n">
        <f aca="false">ROUND(S1!$B$30*(1+A60/100),2)</f>
        <v>1562879.84</v>
      </c>
      <c r="E60" s="2" t="n">
        <f aca="false">ROUND(S1!$B$33*(1+B60/100),2)</f>
        <v>722304</v>
      </c>
      <c r="F60" s="2" t="n">
        <f aca="false">S1!$B$2+S1!$B$31+S1!$B$32+E60+M60+N60+Y60+AA60+L60</f>
        <v>1472018.75</v>
      </c>
      <c r="G60" s="2" t="n">
        <f aca="false">D60-F60</f>
        <v>90861.0900000001</v>
      </c>
      <c r="H60" s="3" t="n">
        <f aca="false">ROUND(G60/D60,4)</f>
        <v>0.0581</v>
      </c>
      <c r="I60" s="3" t="n">
        <f aca="false">IF(AB60&lt;=0,"",ROUND(G60/AB60,4))</f>
        <v>0.2546</v>
      </c>
      <c r="J60" s="2" t="n">
        <f aca="false">ROUND(D60*Assumptions!$B$18/100,2)</f>
        <v>78143.99</v>
      </c>
      <c r="K60" s="2" t="n">
        <f aca="false">ROUND(D60*Assumptions!$B$19/100,2)</f>
        <v>15628.8</v>
      </c>
      <c r="L60" s="2" t="n">
        <f aca="false">J60+K60</f>
        <v>93772.79</v>
      </c>
      <c r="M60" s="2" t="n">
        <f aca="false">ROUND(E60*Assumptions!$B$7/100,2)</f>
        <v>36115.2</v>
      </c>
      <c r="N60" s="2" t="n">
        <f aca="false">ROUND(E60*Assumptions!$B$8/100,2)</f>
        <v>86676.48</v>
      </c>
      <c r="O60" s="2" t="n">
        <f aca="false">ROUND(E60*Assumptions!$B$17/100*C60/12,2)</f>
        <v>8125.92</v>
      </c>
      <c r="P60" s="2" t="n">
        <f aca="false">C60*Assumptions!$B$9/100</f>
        <v>6.3</v>
      </c>
      <c r="Q60" s="2" t="n">
        <f aca="false">C60-P60</f>
        <v>2.7</v>
      </c>
      <c r="R60" s="2" t="n">
        <f aca="false">S1!$B$2+S1!$B$32+E60+M60+N60</f>
        <v>1276795.68</v>
      </c>
      <c r="S60" s="2" t="n">
        <f aca="false">ROUND(R60*Assumptions!$B$10/100,2)</f>
        <v>1021436.54</v>
      </c>
      <c r="T60" s="2" t="n">
        <f aca="false">ROUND((S1!$B$2+S1!$B$32+N60)*Assumptions!$B$10/100*Assumptions!$B$11/100/12*C60,2)</f>
        <v>31102.59</v>
      </c>
      <c r="U60" s="2" t="n">
        <f aca="false">ROUND((E60+M60)*Assumptions!$B$10/100*Assumptions!$B$11/100/12*(P60/2+Q60),2)</f>
        <v>29578.35</v>
      </c>
      <c r="V60" s="2" t="n">
        <f aca="false">T60+U60</f>
        <v>60680.94</v>
      </c>
      <c r="W60" s="2" t="n">
        <f aca="false">ROUND(S60*Assumptions!$B$12/100,2)</f>
        <v>20428.73</v>
      </c>
      <c r="X60" s="2" t="n">
        <f aca="false">Assumptions!$B$13*Assumptions!$B$14</f>
        <v>1000</v>
      </c>
      <c r="Y60" s="2" t="n">
        <f aca="false">V60+W60+X60</f>
        <v>82109.67</v>
      </c>
      <c r="Z60" s="2" t="n">
        <f aca="false">ROUND(S1!$B$2*Assumptions!$B$16/100*C60/12,2)</f>
        <v>7014.69</v>
      </c>
      <c r="AA60" s="2" t="n">
        <f aca="false">Z60+O60</f>
        <v>15140.61</v>
      </c>
      <c r="AB60" s="2" t="n">
        <f aca="false">F60-L60-S60</f>
        <v>356809.42</v>
      </c>
    </row>
    <row r="61" customFormat="false" ht="15" hidden="false" customHeight="false" outlineLevel="0" collapsed="false">
      <c r="A61" s="0" t="n">
        <v>10</v>
      </c>
      <c r="B61" s="0" t="n">
        <v>20</v>
      </c>
      <c r="C61" s="0" t="n">
        <v>12</v>
      </c>
      <c r="D61" s="2" t="n">
        <f aca="false">ROUND(S1!$B$30*(1+A61/100),2)</f>
        <v>1562879.84</v>
      </c>
      <c r="E61" s="2" t="n">
        <f aca="false">ROUND(S1!$B$33*(1+B61/100),2)</f>
        <v>722304</v>
      </c>
      <c r="F61" s="2" t="n">
        <f aca="false">S1!$B$2+S1!$B$31+S1!$B$32+E61+M61+N61+Y61+AA61+L61</f>
        <v>1497292.6</v>
      </c>
      <c r="G61" s="2" t="n">
        <f aca="false">D61-F61</f>
        <v>65587.2400000002</v>
      </c>
      <c r="H61" s="3" t="n">
        <f aca="false">ROUND(G61/D61,4)</f>
        <v>0.042</v>
      </c>
      <c r="I61" s="3" t="n">
        <f aca="false">IF(AB61&lt;=0,"",ROUND(G61/AB61,4))</f>
        <v>0.1717</v>
      </c>
      <c r="J61" s="2" t="n">
        <f aca="false">ROUND(D61*Assumptions!$B$18/100,2)</f>
        <v>78143.99</v>
      </c>
      <c r="K61" s="2" t="n">
        <f aca="false">ROUND(D61*Assumptions!$B$19/100,2)</f>
        <v>15628.8</v>
      </c>
      <c r="L61" s="2" t="n">
        <f aca="false">J61+K61</f>
        <v>93772.79</v>
      </c>
      <c r="M61" s="2" t="n">
        <f aca="false">ROUND(E61*Assumptions!$B$7/100,2)</f>
        <v>36115.2</v>
      </c>
      <c r="N61" s="2" t="n">
        <f aca="false">ROUND(E61*Assumptions!$B$8/100,2)</f>
        <v>86676.48</v>
      </c>
      <c r="O61" s="2" t="n">
        <f aca="false">ROUND(E61*Assumptions!$B$17/100*C61/12,2)</f>
        <v>10834.56</v>
      </c>
      <c r="P61" s="2" t="n">
        <f aca="false">C61*Assumptions!$B$9/100</f>
        <v>8.4</v>
      </c>
      <c r="Q61" s="2" t="n">
        <f aca="false">C61-P61</f>
        <v>3.6</v>
      </c>
      <c r="R61" s="2" t="n">
        <f aca="false">S1!$B$2+S1!$B$32+E61+M61+N61</f>
        <v>1276795.68</v>
      </c>
      <c r="S61" s="2" t="n">
        <f aca="false">ROUND(R61*Assumptions!$B$10/100,2)</f>
        <v>1021436.54</v>
      </c>
      <c r="T61" s="2" t="n">
        <f aca="false">ROUND((S1!$B$2+S1!$B$32+N61)*Assumptions!$B$10/100*Assumptions!$B$11/100/12*C61,2)</f>
        <v>41470.12</v>
      </c>
      <c r="U61" s="2" t="n">
        <f aca="false">ROUND((E61+M61)*Assumptions!$B$10/100*Assumptions!$B$11/100/12*(P61/2+Q61),2)</f>
        <v>39437.8</v>
      </c>
      <c r="V61" s="2" t="n">
        <f aca="false">T61+U61</f>
        <v>80907.92</v>
      </c>
      <c r="W61" s="2" t="n">
        <f aca="false">ROUND(S61*Assumptions!$B$12/100,2)</f>
        <v>20428.73</v>
      </c>
      <c r="X61" s="2" t="n">
        <f aca="false">Assumptions!$B$13*Assumptions!$B$14</f>
        <v>1000</v>
      </c>
      <c r="Y61" s="2" t="n">
        <f aca="false">V61+W61+X61</f>
        <v>102336.65</v>
      </c>
      <c r="Z61" s="2" t="n">
        <f aca="false">ROUND(S1!$B$2*Assumptions!$B$16/100*C61/12,2)</f>
        <v>9352.92</v>
      </c>
      <c r="AA61" s="2" t="n">
        <f aca="false">Z61+O61</f>
        <v>20187.48</v>
      </c>
      <c r="AB61" s="2" t="n">
        <f aca="false">F61-L61-S61</f>
        <v>382083.27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2026-10-02T18:50:15Z</dcterms:created>
  <dc:creator>openpyxl</dc:creator>
  <dc:description/>
  <dc:language>en-US</dc:language>
  <cp:lastModifiedBy/>
  <dcterms:modified xsi:type="dcterms:W3CDTF">2026-10-02T18:50:15Z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